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ik.drancolli\AppData\Local\Microsoft\Windows\INetCache\Content.Outlook\Y92MRVU2\"/>
    </mc:Choice>
  </mc:AlternateContent>
  <xr:revisionPtr revIDLastSave="0" documentId="8_{52454C4F-D802-4580-87B5-0F24CEAEFC5A}" xr6:coauthVersionLast="47" xr6:coauthVersionMax="47" xr10:uidLastSave="{00000000-0000-0000-0000-000000000000}"/>
  <bookViews>
    <workbookView xWindow="-120" yWindow="-120" windowWidth="29040" windowHeight="15720" xr2:uid="{6D67D538-9BA5-46AF-9CF1-0A2D02176E6F}"/>
  </bookViews>
  <sheets>
    <sheet name="Total" sheetId="3" r:id="rId1"/>
    <sheet name="Clients PI" sheetId="4" r:id="rId2"/>
    <sheet name="CA PI" sheetId="1" r:id="rId3"/>
    <sheet name="TDA PI" sheetId="12" r:id="rId4"/>
    <sheet name="SA PI " sheetId="13" r:id="rId5"/>
    <sheet name="Mortgage Loans" sheetId="14" r:id="rId6"/>
    <sheet name="Consumer Loans" sheetId="15" r:id="rId7"/>
    <sheet name="CC" sheetId="16" r:id="rId8"/>
    <sheet name="OVD" sheetId="17" r:id="rId9"/>
    <sheet name="Digital Penetration PI" sheetId="10" r:id="rId10"/>
    <sheet name="Clients BI" sheetId="18" r:id="rId11"/>
    <sheet name="CA Business" sheetId="20" r:id="rId12"/>
    <sheet name="TDA Business" sheetId="21" r:id="rId13"/>
    <sheet name="Short Term per Business" sheetId="22" r:id="rId14"/>
    <sheet name="Long Term business" sheetId="24" r:id="rId15"/>
    <sheet name="CC Business" sheetId="23" r:id="rId16"/>
    <sheet name="OVD Business" sheetId="26" r:id="rId17"/>
    <sheet name="POS Business" sheetId="27" r:id="rId18"/>
    <sheet name="Digital Penetration Business" sheetId="28" r:id="rId19"/>
  </sheets>
  <definedNames>
    <definedName name="_xlnm._FilterDatabase" localSheetId="11" hidden="1">'CA Business'!$A$2:$L$2</definedName>
    <definedName name="_xlnm._FilterDatabase" localSheetId="2" hidden="1">'CA PI'!$A$2:$N$2</definedName>
    <definedName name="_xlnm._FilterDatabase" localSheetId="7" hidden="1">CC!$A$2:$AF$2</definedName>
    <definedName name="_xlnm._FilterDatabase" localSheetId="15" hidden="1">'CC Business'!$A$2:$K$2</definedName>
    <definedName name="_xlnm._FilterDatabase" localSheetId="10" hidden="1">'Clients BI'!$A$2:$H$2</definedName>
    <definedName name="_xlnm._FilterDatabase" localSheetId="1" hidden="1">'Clients PI'!$A$2:$AC$2</definedName>
    <definedName name="_xlnm._FilterDatabase" localSheetId="6" hidden="1">'Consumer Loans'!$A$2:$AF$2</definedName>
    <definedName name="_xlnm._FilterDatabase" localSheetId="18" hidden="1">'Digital Penetration Business'!$A$2:$G$2</definedName>
    <definedName name="_xlnm._FilterDatabase" localSheetId="9" hidden="1">'Digital Penetration PI'!$A$2:$Q$2</definedName>
    <definedName name="_xlnm._FilterDatabase" localSheetId="14" hidden="1">'Long Term business'!$A$2:$K$2</definedName>
    <definedName name="_xlnm._FilterDatabase" localSheetId="5" hidden="1">'Mortgage Loans'!$A$2:$AF$2</definedName>
    <definedName name="_xlnm._FilterDatabase" localSheetId="8" hidden="1">OVD!$A$2:$AF$2</definedName>
    <definedName name="_xlnm._FilterDatabase" localSheetId="16" hidden="1">'OVD Business'!$A$2:$K$2</definedName>
    <definedName name="_xlnm._FilterDatabase" localSheetId="17" hidden="1">'POS Business'!$A$2:$K$2</definedName>
    <definedName name="_xlnm._FilterDatabase" localSheetId="4" hidden="1">'SA PI '!$A$2:$AF$2</definedName>
    <definedName name="_xlnm._FilterDatabase" localSheetId="13" hidden="1">'Short Term per Business'!$A$2:$K$2</definedName>
    <definedName name="_xlnm._FilterDatabase" localSheetId="12" hidden="1">'TDA Business'!$A$2:$K$2</definedName>
    <definedName name="_xlnm._FilterDatabase" localSheetId="3" hidden="1">'TDA PI'!$A$2:$AF$2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6" l="1"/>
  <c r="J3" i="26"/>
  <c r="H6" i="18"/>
  <c r="H5" i="18"/>
  <c r="H4" i="18"/>
  <c r="H3" i="18"/>
  <c r="F41" i="18"/>
  <c r="F42" i="10"/>
  <c r="K41" i="16"/>
  <c r="N3" i="15"/>
  <c r="K8" i="15"/>
  <c r="K41" i="15"/>
  <c r="N4" i="15"/>
  <c r="N3" i="14"/>
  <c r="L3" i="14"/>
  <c r="D41" i="21" l="1"/>
  <c r="E41" i="21"/>
  <c r="F41" i="21"/>
  <c r="G41" i="21"/>
  <c r="H41" i="21"/>
  <c r="K3" i="12"/>
  <c r="G8" i="4" l="1"/>
  <c r="J7" i="4"/>
  <c r="J6" i="4"/>
  <c r="J5" i="4"/>
  <c r="I3" i="4"/>
  <c r="H3" i="4"/>
  <c r="C41" i="10"/>
  <c r="E41" i="10"/>
  <c r="D41" i="10"/>
  <c r="C41" i="28"/>
  <c r="E41" i="28"/>
  <c r="D41" i="28"/>
  <c r="F41" i="28"/>
  <c r="F21" i="28"/>
  <c r="G21" i="28"/>
  <c r="F29" i="28"/>
  <c r="G29" i="28"/>
  <c r="F12" i="28"/>
  <c r="G12" i="28"/>
  <c r="F24" i="28"/>
  <c r="G24" i="28"/>
  <c r="F13" i="28"/>
  <c r="G13" i="28"/>
  <c r="F30" i="28"/>
  <c r="G30" i="28"/>
  <c r="F27" i="28"/>
  <c r="G27" i="28"/>
  <c r="F17" i="28"/>
  <c r="G17" i="28"/>
  <c r="F15" i="28"/>
  <c r="G15" i="28"/>
  <c r="F26" i="28"/>
  <c r="G26" i="28"/>
  <c r="F14" i="28"/>
  <c r="G14" i="28"/>
  <c r="F9" i="28"/>
  <c r="G9" i="28"/>
  <c r="F25" i="28"/>
  <c r="G25" i="28"/>
  <c r="F20" i="28"/>
  <c r="G20" i="28"/>
  <c r="F22" i="28"/>
  <c r="G22" i="28"/>
  <c r="F16" i="28"/>
  <c r="G16" i="28"/>
  <c r="F19" i="28"/>
  <c r="G19" i="28"/>
  <c r="F10" i="28"/>
  <c r="G10" i="28"/>
  <c r="F23" i="28"/>
  <c r="G23" i="28"/>
  <c r="F28" i="28"/>
  <c r="G28" i="28"/>
  <c r="F18" i="28"/>
  <c r="G18" i="28"/>
  <c r="F3" i="28"/>
  <c r="G3" i="28"/>
  <c r="F8" i="28"/>
  <c r="G8" i="28"/>
  <c r="F7" i="28"/>
  <c r="G7" i="28"/>
  <c r="F6" i="28"/>
  <c r="G6" i="28"/>
  <c r="F11" i="28"/>
  <c r="G11" i="28"/>
  <c r="F31" i="28"/>
  <c r="G31" i="28"/>
  <c r="F4" i="28"/>
  <c r="G4" i="28"/>
  <c r="F5" i="28"/>
  <c r="G5" i="28"/>
  <c r="G41" i="28"/>
  <c r="H3" i="27"/>
  <c r="H41" i="27" s="1"/>
  <c r="I3" i="27"/>
  <c r="J3" i="27"/>
  <c r="K3" i="27"/>
  <c r="H6" i="27"/>
  <c r="I6" i="27"/>
  <c r="J6" i="27"/>
  <c r="K6" i="27"/>
  <c r="H10" i="27"/>
  <c r="I10" i="27"/>
  <c r="J10" i="27"/>
  <c r="K10" i="27"/>
  <c r="H4" i="27"/>
  <c r="I4" i="27"/>
  <c r="J4" i="27"/>
  <c r="K4" i="27"/>
  <c r="H5" i="27"/>
  <c r="I5" i="27"/>
  <c r="J5" i="27"/>
  <c r="K5" i="27"/>
  <c r="H19" i="27"/>
  <c r="I19" i="27"/>
  <c r="J19" i="27"/>
  <c r="K19" i="27"/>
  <c r="H8" i="27"/>
  <c r="I8" i="27"/>
  <c r="J8" i="27"/>
  <c r="K8" i="27"/>
  <c r="H13" i="27"/>
  <c r="I13" i="27"/>
  <c r="J13" i="27"/>
  <c r="K13" i="27"/>
  <c r="H14" i="27"/>
  <c r="I14" i="27"/>
  <c r="J14" i="27"/>
  <c r="K14" i="27"/>
  <c r="H18" i="27"/>
  <c r="I18" i="27"/>
  <c r="J18" i="27"/>
  <c r="K18" i="27"/>
  <c r="H7" i="27"/>
  <c r="I7" i="27"/>
  <c r="J7" i="27"/>
  <c r="K7" i="27"/>
  <c r="H9" i="27"/>
  <c r="I9" i="27"/>
  <c r="J9" i="27"/>
  <c r="K9" i="27"/>
  <c r="H31" i="27"/>
  <c r="I31" i="27"/>
  <c r="J31" i="27"/>
  <c r="K31" i="27"/>
  <c r="H24" i="27"/>
  <c r="I24" i="27"/>
  <c r="J24" i="27"/>
  <c r="K24" i="27"/>
  <c r="H20" i="27"/>
  <c r="I20" i="27"/>
  <c r="J20" i="27"/>
  <c r="K20" i="27"/>
  <c r="H11" i="27"/>
  <c r="I11" i="27"/>
  <c r="J11" i="27"/>
  <c r="K11" i="27"/>
  <c r="H17" i="27"/>
  <c r="I17" i="27"/>
  <c r="J17" i="27"/>
  <c r="K17" i="27"/>
  <c r="H15" i="27"/>
  <c r="I15" i="27"/>
  <c r="J15" i="27"/>
  <c r="K15" i="27"/>
  <c r="H16" i="27"/>
  <c r="I16" i="27"/>
  <c r="J16" i="27"/>
  <c r="K16" i="27"/>
  <c r="H21" i="27"/>
  <c r="I21" i="27"/>
  <c r="J21" i="27"/>
  <c r="K21" i="27"/>
  <c r="H28" i="27"/>
  <c r="I28" i="27"/>
  <c r="J28" i="27"/>
  <c r="K28" i="27"/>
  <c r="H22" i="27"/>
  <c r="I22" i="27"/>
  <c r="J22" i="27"/>
  <c r="K22" i="27"/>
  <c r="H23" i="27"/>
  <c r="I23" i="27"/>
  <c r="J23" i="27"/>
  <c r="K23" i="27"/>
  <c r="H32" i="27"/>
  <c r="I32" i="27"/>
  <c r="J32" i="27"/>
  <c r="K32" i="27"/>
  <c r="H26" i="27"/>
  <c r="I26" i="27"/>
  <c r="J26" i="27"/>
  <c r="K26" i="27"/>
  <c r="H12" i="27"/>
  <c r="I12" i="27"/>
  <c r="J12" i="27"/>
  <c r="K12" i="27"/>
  <c r="H33" i="27"/>
  <c r="I33" i="27"/>
  <c r="J33" i="27"/>
  <c r="K33" i="27"/>
  <c r="H34" i="27"/>
  <c r="I34" i="27"/>
  <c r="J34" i="27"/>
  <c r="K34" i="27"/>
  <c r="H25" i="27"/>
  <c r="I25" i="27"/>
  <c r="J25" i="27"/>
  <c r="K25" i="27"/>
  <c r="H30" i="27"/>
  <c r="I30" i="27"/>
  <c r="J30" i="27"/>
  <c r="K30" i="27"/>
  <c r="H35" i="27"/>
  <c r="I35" i="27"/>
  <c r="J35" i="27"/>
  <c r="K35" i="27"/>
  <c r="H29" i="27"/>
  <c r="I29" i="27"/>
  <c r="J29" i="27"/>
  <c r="K29" i="27"/>
  <c r="H27" i="27"/>
  <c r="I27" i="27"/>
  <c r="J27" i="27"/>
  <c r="K27" i="27"/>
  <c r="H36" i="27"/>
  <c r="I36" i="27"/>
  <c r="J36" i="27"/>
  <c r="K36" i="27"/>
  <c r="H37" i="27"/>
  <c r="I37" i="27"/>
  <c r="J37" i="27"/>
  <c r="K37" i="27"/>
  <c r="H38" i="27"/>
  <c r="I38" i="27"/>
  <c r="J38" i="27"/>
  <c r="K38" i="27"/>
  <c r="H39" i="27"/>
  <c r="I39" i="27"/>
  <c r="J39" i="27"/>
  <c r="K39" i="27"/>
  <c r="H40" i="27"/>
  <c r="I40" i="27"/>
  <c r="J40" i="27"/>
  <c r="K40" i="27"/>
  <c r="I41" i="27"/>
  <c r="J41" i="27"/>
  <c r="K41" i="27"/>
  <c r="H3" i="26"/>
  <c r="I3" i="26"/>
  <c r="H6" i="26"/>
  <c r="I6" i="26"/>
  <c r="J6" i="26"/>
  <c r="K6" i="26"/>
  <c r="H5" i="26"/>
  <c r="I5" i="26"/>
  <c r="J5" i="26"/>
  <c r="K5" i="26"/>
  <c r="H4" i="26"/>
  <c r="I4" i="26"/>
  <c r="J4" i="26"/>
  <c r="K4" i="26"/>
  <c r="H11" i="26"/>
  <c r="I11" i="26"/>
  <c r="J11" i="26"/>
  <c r="K11" i="26"/>
  <c r="H17" i="26"/>
  <c r="I17" i="26"/>
  <c r="J17" i="26"/>
  <c r="K17" i="26"/>
  <c r="H12" i="26"/>
  <c r="I12" i="26"/>
  <c r="J12" i="26"/>
  <c r="K12" i="26"/>
  <c r="H21" i="26"/>
  <c r="I21" i="26"/>
  <c r="J21" i="26"/>
  <c r="K21" i="26"/>
  <c r="H18" i="26"/>
  <c r="I18" i="26"/>
  <c r="J18" i="26"/>
  <c r="K18" i="26"/>
  <c r="H14" i="26"/>
  <c r="I14" i="26"/>
  <c r="J14" i="26"/>
  <c r="K14" i="26"/>
  <c r="H10" i="26"/>
  <c r="I10" i="26"/>
  <c r="J10" i="26"/>
  <c r="K10" i="26"/>
  <c r="H8" i="26"/>
  <c r="I8" i="26"/>
  <c r="J8" i="26"/>
  <c r="K8" i="26"/>
  <c r="H22" i="26"/>
  <c r="I22" i="26"/>
  <c r="J22" i="26"/>
  <c r="K22" i="26"/>
  <c r="H16" i="26"/>
  <c r="I16" i="26"/>
  <c r="J16" i="26"/>
  <c r="K16" i="26"/>
  <c r="H39" i="26"/>
  <c r="I39" i="26"/>
  <c r="J39" i="26"/>
  <c r="K39" i="26"/>
  <c r="H40" i="26"/>
  <c r="I40" i="26"/>
  <c r="J40" i="26"/>
  <c r="K40" i="26"/>
  <c r="H15" i="26"/>
  <c r="I15" i="26"/>
  <c r="J15" i="26"/>
  <c r="K15" i="26"/>
  <c r="H7" i="26"/>
  <c r="I7" i="26"/>
  <c r="J7" i="26"/>
  <c r="K7" i="26"/>
  <c r="H13" i="26"/>
  <c r="I13" i="26"/>
  <c r="J13" i="26"/>
  <c r="K13" i="26"/>
  <c r="H19" i="26"/>
  <c r="I19" i="26"/>
  <c r="J19" i="26"/>
  <c r="K19" i="26"/>
  <c r="H23" i="26"/>
  <c r="I23" i="26"/>
  <c r="J23" i="26"/>
  <c r="K23" i="26"/>
  <c r="H20" i="26"/>
  <c r="I20" i="26"/>
  <c r="J20" i="26"/>
  <c r="K20" i="26"/>
  <c r="H9" i="26"/>
  <c r="I9" i="26"/>
  <c r="J9" i="26"/>
  <c r="K9" i="26"/>
  <c r="H26" i="26"/>
  <c r="I26" i="26"/>
  <c r="J26" i="26"/>
  <c r="K26" i="26"/>
  <c r="H38" i="26"/>
  <c r="I38" i="26"/>
  <c r="J38" i="26"/>
  <c r="K38" i="26"/>
  <c r="H27" i="26"/>
  <c r="I27" i="26"/>
  <c r="J27" i="26"/>
  <c r="K27" i="26"/>
  <c r="H28" i="26"/>
  <c r="I28" i="26"/>
  <c r="J28" i="26"/>
  <c r="K28" i="26"/>
  <c r="H29" i="26"/>
  <c r="I29" i="26"/>
  <c r="J29" i="26"/>
  <c r="K29" i="26"/>
  <c r="H24" i="26"/>
  <c r="I24" i="26"/>
  <c r="J24" i="26"/>
  <c r="K24" i="26"/>
  <c r="H25" i="26"/>
  <c r="I25" i="26"/>
  <c r="J25" i="26"/>
  <c r="K25" i="26"/>
  <c r="H30" i="26"/>
  <c r="I30" i="26"/>
  <c r="J30" i="26"/>
  <c r="K30" i="26"/>
  <c r="H31" i="26"/>
  <c r="I31" i="26"/>
  <c r="J31" i="26"/>
  <c r="K31" i="26"/>
  <c r="H32" i="26"/>
  <c r="I32" i="26"/>
  <c r="J32" i="26"/>
  <c r="K32" i="26"/>
  <c r="H33" i="26"/>
  <c r="I33" i="26"/>
  <c r="J33" i="26"/>
  <c r="K33" i="26"/>
  <c r="H34" i="26"/>
  <c r="I34" i="26"/>
  <c r="J34" i="26"/>
  <c r="K34" i="26"/>
  <c r="H35" i="26"/>
  <c r="I35" i="26"/>
  <c r="J35" i="26"/>
  <c r="K35" i="26"/>
  <c r="H36" i="26"/>
  <c r="I36" i="26"/>
  <c r="J36" i="26"/>
  <c r="K36" i="26"/>
  <c r="H37" i="26"/>
  <c r="I37" i="26"/>
  <c r="J37" i="26"/>
  <c r="K37" i="26"/>
  <c r="H41" i="26"/>
  <c r="I41" i="26"/>
  <c r="J41" i="26"/>
  <c r="K41" i="26"/>
  <c r="H3" i="23"/>
  <c r="I3" i="23"/>
  <c r="J3" i="23"/>
  <c r="K3" i="23"/>
  <c r="H34" i="23"/>
  <c r="I34" i="23"/>
  <c r="J34" i="23"/>
  <c r="K34" i="23"/>
  <c r="H4" i="23"/>
  <c r="I4" i="23"/>
  <c r="J4" i="23"/>
  <c r="K4" i="23"/>
  <c r="H5" i="23"/>
  <c r="I5" i="23"/>
  <c r="J5" i="23"/>
  <c r="K5" i="23"/>
  <c r="H17" i="23"/>
  <c r="I17" i="23"/>
  <c r="J17" i="23"/>
  <c r="K17" i="23"/>
  <c r="H18" i="23"/>
  <c r="I18" i="23"/>
  <c r="J18" i="23"/>
  <c r="K18" i="23"/>
  <c r="H7" i="23"/>
  <c r="I7" i="23"/>
  <c r="J7" i="23"/>
  <c r="K7" i="23"/>
  <c r="H11" i="23"/>
  <c r="I11" i="23"/>
  <c r="J11" i="23"/>
  <c r="K11" i="23"/>
  <c r="H20" i="23"/>
  <c r="I20" i="23"/>
  <c r="J20" i="23"/>
  <c r="K20" i="23"/>
  <c r="H38" i="23"/>
  <c r="I38" i="23"/>
  <c r="J38" i="23"/>
  <c r="K38" i="23"/>
  <c r="H15" i="23"/>
  <c r="I15" i="23"/>
  <c r="J15" i="23"/>
  <c r="K15" i="23"/>
  <c r="H13" i="23"/>
  <c r="I13" i="23"/>
  <c r="J13" i="23"/>
  <c r="K13" i="23"/>
  <c r="H33" i="23"/>
  <c r="I33" i="23"/>
  <c r="J33" i="23"/>
  <c r="K33" i="23"/>
  <c r="H16" i="23"/>
  <c r="I16" i="23"/>
  <c r="J16" i="23"/>
  <c r="K16" i="23"/>
  <c r="H40" i="23"/>
  <c r="I40" i="23"/>
  <c r="J40" i="23"/>
  <c r="K40" i="23"/>
  <c r="H10" i="23"/>
  <c r="I10" i="23"/>
  <c r="J10" i="23"/>
  <c r="K10" i="23"/>
  <c r="H9" i="23"/>
  <c r="I9" i="23"/>
  <c r="J9" i="23"/>
  <c r="K9" i="23"/>
  <c r="H6" i="23"/>
  <c r="I6" i="23"/>
  <c r="J6" i="23"/>
  <c r="K6" i="23"/>
  <c r="H12" i="23"/>
  <c r="I12" i="23"/>
  <c r="J12" i="23"/>
  <c r="K12" i="23"/>
  <c r="H35" i="23"/>
  <c r="I35" i="23"/>
  <c r="J35" i="23"/>
  <c r="K35" i="23"/>
  <c r="H19" i="23"/>
  <c r="I19" i="23"/>
  <c r="J19" i="23"/>
  <c r="K19" i="23"/>
  <c r="H39" i="23"/>
  <c r="I39" i="23"/>
  <c r="J39" i="23"/>
  <c r="K39" i="23"/>
  <c r="H8" i="23"/>
  <c r="I8" i="23"/>
  <c r="J8" i="23"/>
  <c r="K8" i="23"/>
  <c r="H22" i="23"/>
  <c r="I22" i="23"/>
  <c r="J22" i="23"/>
  <c r="K22" i="23"/>
  <c r="H14" i="23"/>
  <c r="I14" i="23"/>
  <c r="J14" i="23"/>
  <c r="K14" i="23"/>
  <c r="H21" i="23"/>
  <c r="I21" i="23"/>
  <c r="J21" i="23"/>
  <c r="K21" i="23"/>
  <c r="H23" i="23"/>
  <c r="I23" i="23"/>
  <c r="J23" i="23"/>
  <c r="K23" i="23"/>
  <c r="H24" i="23"/>
  <c r="I24" i="23"/>
  <c r="J24" i="23"/>
  <c r="K24" i="23"/>
  <c r="H36" i="23"/>
  <c r="I36" i="23"/>
  <c r="J36" i="23"/>
  <c r="K36" i="23"/>
  <c r="H37" i="23"/>
  <c r="I37" i="23"/>
  <c r="J37" i="23"/>
  <c r="K37" i="23"/>
  <c r="H25" i="23"/>
  <c r="I25" i="23"/>
  <c r="J25" i="23"/>
  <c r="K25" i="23"/>
  <c r="H26" i="23"/>
  <c r="I26" i="23"/>
  <c r="J26" i="23"/>
  <c r="K26" i="23"/>
  <c r="H27" i="23"/>
  <c r="I27" i="23"/>
  <c r="J27" i="23"/>
  <c r="K27" i="23"/>
  <c r="H28" i="23"/>
  <c r="I28" i="23"/>
  <c r="J28" i="23"/>
  <c r="K28" i="23"/>
  <c r="H29" i="23"/>
  <c r="I29" i="23"/>
  <c r="J29" i="23"/>
  <c r="K29" i="23"/>
  <c r="H30" i="23"/>
  <c r="I30" i="23"/>
  <c r="J30" i="23"/>
  <c r="K30" i="23"/>
  <c r="H31" i="23"/>
  <c r="I31" i="23"/>
  <c r="J31" i="23"/>
  <c r="K31" i="23"/>
  <c r="H32" i="23"/>
  <c r="I32" i="23"/>
  <c r="J32" i="23"/>
  <c r="K32" i="23"/>
  <c r="H41" i="23"/>
  <c r="I41" i="23"/>
  <c r="J41" i="23"/>
  <c r="K41" i="23"/>
  <c r="H3" i="24"/>
  <c r="I3" i="24"/>
  <c r="J3" i="24"/>
  <c r="K3" i="24"/>
  <c r="H39" i="24"/>
  <c r="I39" i="24"/>
  <c r="J39" i="24"/>
  <c r="K39" i="24"/>
  <c r="H5" i="24"/>
  <c r="I5" i="24"/>
  <c r="J5" i="24"/>
  <c r="K5" i="24"/>
  <c r="H4" i="24"/>
  <c r="I4" i="24"/>
  <c r="J4" i="24"/>
  <c r="K4" i="24"/>
  <c r="H6" i="24"/>
  <c r="I6" i="24"/>
  <c r="J6" i="24"/>
  <c r="K6" i="24"/>
  <c r="H40" i="24"/>
  <c r="I40" i="24"/>
  <c r="J40" i="24"/>
  <c r="K40" i="24"/>
  <c r="H14" i="24"/>
  <c r="I14" i="24"/>
  <c r="J14" i="24"/>
  <c r="K14" i="24"/>
  <c r="H15" i="24"/>
  <c r="I15" i="24"/>
  <c r="J15" i="24"/>
  <c r="K15" i="24"/>
  <c r="H36" i="24"/>
  <c r="I36" i="24"/>
  <c r="J36" i="24"/>
  <c r="K36" i="24"/>
  <c r="H9" i="24"/>
  <c r="I9" i="24"/>
  <c r="J9" i="24"/>
  <c r="K9" i="24"/>
  <c r="H10" i="24"/>
  <c r="I10" i="24"/>
  <c r="J10" i="24"/>
  <c r="K10" i="24"/>
  <c r="H8" i="24"/>
  <c r="I8" i="24"/>
  <c r="J8" i="24"/>
  <c r="K8" i="24"/>
  <c r="H20" i="24"/>
  <c r="I20" i="24"/>
  <c r="J20" i="24"/>
  <c r="K20" i="24"/>
  <c r="H17" i="24"/>
  <c r="I17" i="24"/>
  <c r="J17" i="24"/>
  <c r="K17" i="24"/>
  <c r="H35" i="24"/>
  <c r="I35" i="24"/>
  <c r="J35" i="24"/>
  <c r="K35" i="24"/>
  <c r="H12" i="24"/>
  <c r="I12" i="24"/>
  <c r="J12" i="24"/>
  <c r="K12" i="24"/>
  <c r="H13" i="24"/>
  <c r="I13" i="24"/>
  <c r="J13" i="24"/>
  <c r="K13" i="24"/>
  <c r="H11" i="24"/>
  <c r="I11" i="24"/>
  <c r="J11" i="24"/>
  <c r="K11" i="24"/>
  <c r="H7" i="24"/>
  <c r="I7" i="24"/>
  <c r="J7" i="24"/>
  <c r="K7" i="24"/>
  <c r="H38" i="24"/>
  <c r="I38" i="24"/>
  <c r="J38" i="24"/>
  <c r="K38" i="24"/>
  <c r="H21" i="24"/>
  <c r="I21" i="24"/>
  <c r="J21" i="24"/>
  <c r="K21" i="24"/>
  <c r="H18" i="24"/>
  <c r="I18" i="24"/>
  <c r="J18" i="24"/>
  <c r="K18" i="24"/>
  <c r="H16" i="24"/>
  <c r="I16" i="24"/>
  <c r="J16" i="24"/>
  <c r="K16" i="24"/>
  <c r="H22" i="24"/>
  <c r="I22" i="24"/>
  <c r="J22" i="24"/>
  <c r="K22" i="24"/>
  <c r="H23" i="24"/>
  <c r="I23" i="24"/>
  <c r="J23" i="24"/>
  <c r="K23" i="24"/>
  <c r="H24" i="24"/>
  <c r="I24" i="24"/>
  <c r="J24" i="24"/>
  <c r="K24" i="24"/>
  <c r="H25" i="24"/>
  <c r="I25" i="24"/>
  <c r="J25" i="24"/>
  <c r="K25" i="24"/>
  <c r="H26" i="24"/>
  <c r="I26" i="24"/>
  <c r="J26" i="24"/>
  <c r="K26" i="24"/>
  <c r="H19" i="24"/>
  <c r="I19" i="24"/>
  <c r="J19" i="24"/>
  <c r="K19" i="24"/>
  <c r="H37" i="24"/>
  <c r="I37" i="24"/>
  <c r="J37" i="24"/>
  <c r="K37" i="24"/>
  <c r="H27" i="24"/>
  <c r="I27" i="24"/>
  <c r="J27" i="24"/>
  <c r="K27" i="24"/>
  <c r="H28" i="24"/>
  <c r="I28" i="24"/>
  <c r="J28" i="24"/>
  <c r="K28" i="24"/>
  <c r="H29" i="24"/>
  <c r="I29" i="24"/>
  <c r="J29" i="24"/>
  <c r="K29" i="24"/>
  <c r="H30" i="24"/>
  <c r="I30" i="24"/>
  <c r="J30" i="24"/>
  <c r="K30" i="24"/>
  <c r="H31" i="24"/>
  <c r="I31" i="24"/>
  <c r="J31" i="24"/>
  <c r="K31" i="24"/>
  <c r="H32" i="24"/>
  <c r="I32" i="24"/>
  <c r="J32" i="24"/>
  <c r="K32" i="24"/>
  <c r="H33" i="24"/>
  <c r="I33" i="24"/>
  <c r="J33" i="24"/>
  <c r="K33" i="24"/>
  <c r="H34" i="24"/>
  <c r="I34" i="24"/>
  <c r="J34" i="24"/>
  <c r="K34" i="24"/>
  <c r="H41" i="24"/>
  <c r="I41" i="24"/>
  <c r="J41" i="24"/>
  <c r="K41" i="24"/>
  <c r="CR3" i="3"/>
  <c r="CR4" i="3"/>
  <c r="CR5" i="3"/>
  <c r="CR6" i="3"/>
  <c r="CR41" i="3" s="1"/>
  <c r="CR7" i="3"/>
  <c r="CR8" i="3"/>
  <c r="CR9" i="3"/>
  <c r="CR10" i="3"/>
  <c r="CR11" i="3"/>
  <c r="CR12" i="3"/>
  <c r="CR13" i="3"/>
  <c r="CR14" i="3"/>
  <c r="CR15" i="3"/>
  <c r="CR16" i="3"/>
  <c r="CR17" i="3"/>
  <c r="CR18" i="3"/>
  <c r="CR19" i="3"/>
  <c r="CR20" i="3"/>
  <c r="CR21" i="3"/>
  <c r="CR22" i="3"/>
  <c r="CR23" i="3"/>
  <c r="CR24" i="3"/>
  <c r="CR25" i="3"/>
  <c r="CR26" i="3"/>
  <c r="CR27" i="3"/>
  <c r="CR28" i="3"/>
  <c r="CR29" i="3"/>
  <c r="CR30" i="3"/>
  <c r="CR31" i="3"/>
  <c r="CR32" i="3"/>
  <c r="CR33" i="3"/>
  <c r="CR34" i="3"/>
  <c r="CR35" i="3"/>
  <c r="CR36" i="3"/>
  <c r="CR37" i="3"/>
  <c r="CR38" i="3"/>
  <c r="CR39" i="3"/>
  <c r="CR40" i="3"/>
  <c r="CF41" i="3"/>
  <c r="BT41" i="3"/>
  <c r="H3" i="22"/>
  <c r="I3" i="22"/>
  <c r="J3" i="22"/>
  <c r="K3" i="22"/>
  <c r="H4" i="22"/>
  <c r="I4" i="22"/>
  <c r="J4" i="22"/>
  <c r="K4" i="22"/>
  <c r="H5" i="22"/>
  <c r="I5" i="22"/>
  <c r="J5" i="22"/>
  <c r="K5" i="22"/>
  <c r="H6" i="22"/>
  <c r="I6" i="22"/>
  <c r="J6" i="22"/>
  <c r="K6" i="22"/>
  <c r="H10" i="22"/>
  <c r="I10" i="22"/>
  <c r="J10" i="22"/>
  <c r="K10" i="22"/>
  <c r="H17" i="22"/>
  <c r="I17" i="22"/>
  <c r="J17" i="22"/>
  <c r="K17" i="22"/>
  <c r="H22" i="22"/>
  <c r="I22" i="22"/>
  <c r="J22" i="22"/>
  <c r="K22" i="22"/>
  <c r="H15" i="22"/>
  <c r="I15" i="22"/>
  <c r="J15" i="22"/>
  <c r="K15" i="22"/>
  <c r="H18" i="22"/>
  <c r="I18" i="22"/>
  <c r="J18" i="22"/>
  <c r="K18" i="22"/>
  <c r="H8" i="22"/>
  <c r="I8" i="22"/>
  <c r="J8" i="22"/>
  <c r="K8" i="22"/>
  <c r="H7" i="22"/>
  <c r="I7" i="22"/>
  <c r="J7" i="22"/>
  <c r="K7" i="22"/>
  <c r="H12" i="22"/>
  <c r="I12" i="22"/>
  <c r="J12" i="22"/>
  <c r="K12" i="22"/>
  <c r="H23" i="22"/>
  <c r="I23" i="22"/>
  <c r="J23" i="22"/>
  <c r="K23" i="22"/>
  <c r="H39" i="22"/>
  <c r="I39" i="22"/>
  <c r="J39" i="22"/>
  <c r="K39" i="22"/>
  <c r="H40" i="22"/>
  <c r="I40" i="22"/>
  <c r="J40" i="22"/>
  <c r="K40" i="22"/>
  <c r="H11" i="22"/>
  <c r="I11" i="22"/>
  <c r="J11" i="22"/>
  <c r="K11" i="22"/>
  <c r="H13" i="22"/>
  <c r="I13" i="22"/>
  <c r="J13" i="22"/>
  <c r="K13" i="22"/>
  <c r="H9" i="22"/>
  <c r="I9" i="22"/>
  <c r="J9" i="22"/>
  <c r="K9" i="22"/>
  <c r="H14" i="22"/>
  <c r="I14" i="22"/>
  <c r="J14" i="22"/>
  <c r="K14" i="22"/>
  <c r="H19" i="22"/>
  <c r="I19" i="22"/>
  <c r="J19" i="22"/>
  <c r="K19" i="22"/>
  <c r="H24" i="22"/>
  <c r="I24" i="22"/>
  <c r="J24" i="22"/>
  <c r="K24" i="22"/>
  <c r="H16" i="22"/>
  <c r="I16" i="22"/>
  <c r="J16" i="22"/>
  <c r="K16" i="22"/>
  <c r="H20" i="22"/>
  <c r="I20" i="22"/>
  <c r="J20" i="22"/>
  <c r="K20" i="22"/>
  <c r="H25" i="22"/>
  <c r="I25" i="22"/>
  <c r="J25" i="22"/>
  <c r="K25" i="22"/>
  <c r="H26" i="22"/>
  <c r="I26" i="22"/>
  <c r="J26" i="22"/>
  <c r="K26" i="22"/>
  <c r="H21" i="22"/>
  <c r="I21" i="22"/>
  <c r="J21" i="22"/>
  <c r="K21" i="22"/>
  <c r="H27" i="22"/>
  <c r="I27" i="22"/>
  <c r="J27" i="22"/>
  <c r="K27" i="22"/>
  <c r="H28" i="22"/>
  <c r="I28" i="22"/>
  <c r="J28" i="22"/>
  <c r="K28" i="22"/>
  <c r="H29" i="22"/>
  <c r="I29" i="22"/>
  <c r="J29" i="22"/>
  <c r="K29" i="22"/>
  <c r="H30" i="22"/>
  <c r="I30" i="22"/>
  <c r="J30" i="22"/>
  <c r="K30" i="22"/>
  <c r="H31" i="22"/>
  <c r="I31" i="22"/>
  <c r="J31" i="22"/>
  <c r="K31" i="22"/>
  <c r="H32" i="22"/>
  <c r="I32" i="22"/>
  <c r="J32" i="22"/>
  <c r="K32" i="22"/>
  <c r="H33" i="22"/>
  <c r="I33" i="22"/>
  <c r="J33" i="22"/>
  <c r="K33" i="22"/>
  <c r="H34" i="22"/>
  <c r="I34" i="22"/>
  <c r="J34" i="22"/>
  <c r="K34" i="22"/>
  <c r="H35" i="22"/>
  <c r="I35" i="22"/>
  <c r="J35" i="22"/>
  <c r="K35" i="22"/>
  <c r="H36" i="22"/>
  <c r="I36" i="22"/>
  <c r="J36" i="22"/>
  <c r="K36" i="22"/>
  <c r="H37" i="22"/>
  <c r="I37" i="22"/>
  <c r="J37" i="22"/>
  <c r="K37" i="22"/>
  <c r="H38" i="22"/>
  <c r="I38" i="22"/>
  <c r="J38" i="22"/>
  <c r="K38" i="22"/>
  <c r="H41" i="22"/>
  <c r="I41" i="22"/>
  <c r="J41" i="22"/>
  <c r="K41" i="22"/>
  <c r="H4" i="21"/>
  <c r="H13" i="21"/>
  <c r="H8" i="21"/>
  <c r="H38" i="21"/>
  <c r="H9" i="21"/>
  <c r="H39" i="21"/>
  <c r="H14" i="21"/>
  <c r="H40" i="21"/>
  <c r="H15" i="21"/>
  <c r="H16" i="21"/>
  <c r="H10" i="21"/>
  <c r="H17" i="21"/>
  <c r="H18" i="21"/>
  <c r="H11" i="21"/>
  <c r="H5" i="21"/>
  <c r="H19" i="21"/>
  <c r="H6" i="21"/>
  <c r="H20" i="21"/>
  <c r="H21" i="21"/>
  <c r="H12" i="21"/>
  <c r="H22" i="21"/>
  <c r="H7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" i="21"/>
  <c r="J41" i="21"/>
  <c r="K41" i="21"/>
  <c r="J4" i="21"/>
  <c r="K4" i="21"/>
  <c r="J13" i="21"/>
  <c r="K13" i="21"/>
  <c r="J8" i="21"/>
  <c r="K8" i="21"/>
  <c r="J38" i="21"/>
  <c r="K38" i="21"/>
  <c r="J9" i="21"/>
  <c r="K9" i="21"/>
  <c r="J39" i="21"/>
  <c r="K39" i="21"/>
  <c r="J14" i="21"/>
  <c r="K14" i="21"/>
  <c r="J40" i="21"/>
  <c r="K40" i="21"/>
  <c r="J15" i="21"/>
  <c r="K15" i="21"/>
  <c r="J16" i="21"/>
  <c r="K16" i="21"/>
  <c r="J10" i="21"/>
  <c r="K10" i="21"/>
  <c r="J17" i="21"/>
  <c r="K17" i="21"/>
  <c r="J18" i="21"/>
  <c r="K18" i="21"/>
  <c r="J11" i="21"/>
  <c r="K11" i="21"/>
  <c r="J5" i="21"/>
  <c r="K5" i="21"/>
  <c r="J19" i="21"/>
  <c r="K19" i="21"/>
  <c r="J6" i="21"/>
  <c r="K6" i="21"/>
  <c r="J20" i="21"/>
  <c r="K20" i="21"/>
  <c r="J21" i="21"/>
  <c r="K21" i="21"/>
  <c r="J12" i="21"/>
  <c r="K12" i="21"/>
  <c r="J22" i="21"/>
  <c r="K22" i="21"/>
  <c r="J7" i="21"/>
  <c r="K7" i="21"/>
  <c r="J23" i="21"/>
  <c r="K23" i="21"/>
  <c r="J24" i="21"/>
  <c r="K24" i="21"/>
  <c r="J25" i="21"/>
  <c r="K25" i="21"/>
  <c r="J26" i="21"/>
  <c r="K26" i="21"/>
  <c r="J27" i="21"/>
  <c r="K27" i="21"/>
  <c r="J28" i="21"/>
  <c r="K28" i="21"/>
  <c r="J29" i="21"/>
  <c r="K29" i="21"/>
  <c r="J30" i="21"/>
  <c r="K30" i="21"/>
  <c r="J31" i="21"/>
  <c r="K31" i="21"/>
  <c r="J32" i="21"/>
  <c r="K32" i="21"/>
  <c r="J33" i="21"/>
  <c r="K33" i="21"/>
  <c r="J34" i="21"/>
  <c r="K34" i="21"/>
  <c r="J35" i="21"/>
  <c r="K35" i="21"/>
  <c r="J36" i="21"/>
  <c r="K36" i="21"/>
  <c r="J37" i="21"/>
  <c r="K37" i="21"/>
  <c r="K3" i="21"/>
  <c r="J3" i="21"/>
  <c r="I3" i="21"/>
  <c r="I4" i="21"/>
  <c r="I13" i="21"/>
  <c r="I8" i="21"/>
  <c r="I38" i="21"/>
  <c r="I9" i="21"/>
  <c r="I39" i="21"/>
  <c r="I14" i="21"/>
  <c r="I40" i="21"/>
  <c r="I15" i="21"/>
  <c r="I16" i="21"/>
  <c r="I10" i="21"/>
  <c r="I17" i="21"/>
  <c r="I18" i="21"/>
  <c r="I11" i="21"/>
  <c r="I5" i="21"/>
  <c r="I19" i="21"/>
  <c r="I6" i="21"/>
  <c r="I20" i="21"/>
  <c r="I21" i="21"/>
  <c r="I12" i="21"/>
  <c r="I22" i="21"/>
  <c r="I7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41" i="21"/>
  <c r="H41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3" i="20"/>
  <c r="L22" i="20"/>
  <c r="C41" i="20"/>
  <c r="D41" i="20"/>
  <c r="I41" i="20" s="1"/>
  <c r="E41" i="20"/>
  <c r="F41" i="20"/>
  <c r="G41" i="20"/>
  <c r="L41" i="20" s="1"/>
  <c r="I39" i="20"/>
  <c r="J39" i="20"/>
  <c r="K39" i="20"/>
  <c r="L39" i="20"/>
  <c r="I35" i="20"/>
  <c r="J35" i="20"/>
  <c r="K35" i="20"/>
  <c r="L35" i="20"/>
  <c r="I36" i="20"/>
  <c r="J36" i="20"/>
  <c r="K36" i="20"/>
  <c r="L36" i="20"/>
  <c r="I3" i="20"/>
  <c r="J3" i="20"/>
  <c r="K3" i="20"/>
  <c r="L3" i="20"/>
  <c r="I40" i="20"/>
  <c r="J40" i="20"/>
  <c r="K40" i="20"/>
  <c r="L40" i="20"/>
  <c r="I8" i="20"/>
  <c r="J8" i="20"/>
  <c r="K8" i="20"/>
  <c r="L8" i="20"/>
  <c r="I21" i="20"/>
  <c r="J21" i="20"/>
  <c r="K21" i="20"/>
  <c r="L21" i="20"/>
  <c r="I38" i="20"/>
  <c r="J38" i="20"/>
  <c r="K38" i="20"/>
  <c r="L38" i="20"/>
  <c r="I19" i="20"/>
  <c r="J19" i="20"/>
  <c r="K19" i="20"/>
  <c r="L19" i="20"/>
  <c r="I37" i="20"/>
  <c r="J37" i="20"/>
  <c r="K37" i="20"/>
  <c r="L37" i="20"/>
  <c r="I10" i="20"/>
  <c r="J10" i="20"/>
  <c r="K10" i="20"/>
  <c r="L10" i="20"/>
  <c r="I18" i="20"/>
  <c r="J18" i="20"/>
  <c r="K18" i="20"/>
  <c r="L18" i="20"/>
  <c r="I13" i="20"/>
  <c r="J13" i="20"/>
  <c r="K13" i="20"/>
  <c r="L13" i="20"/>
  <c r="I15" i="20"/>
  <c r="J15" i="20"/>
  <c r="K15" i="20"/>
  <c r="L15" i="20"/>
  <c r="I14" i="20"/>
  <c r="J14" i="20"/>
  <c r="K14" i="20"/>
  <c r="L14" i="20"/>
  <c r="I17" i="20"/>
  <c r="J17" i="20"/>
  <c r="K17" i="20"/>
  <c r="L17" i="20"/>
  <c r="I32" i="20"/>
  <c r="J32" i="20"/>
  <c r="K32" i="20"/>
  <c r="L32" i="20"/>
  <c r="I22" i="20"/>
  <c r="J22" i="20"/>
  <c r="K22" i="20"/>
  <c r="I33" i="20"/>
  <c r="J33" i="20"/>
  <c r="K33" i="20"/>
  <c r="L33" i="20"/>
  <c r="I20" i="20"/>
  <c r="J20" i="20"/>
  <c r="K20" i="20"/>
  <c r="L20" i="20"/>
  <c r="I34" i="20"/>
  <c r="J34" i="20"/>
  <c r="K34" i="20"/>
  <c r="L34" i="20"/>
  <c r="I6" i="20"/>
  <c r="J6" i="20"/>
  <c r="K6" i="20"/>
  <c r="L6" i="20"/>
  <c r="I23" i="20"/>
  <c r="I9" i="20"/>
  <c r="J9" i="20"/>
  <c r="K9" i="20"/>
  <c r="L9" i="20"/>
  <c r="I4" i="20"/>
  <c r="J4" i="20"/>
  <c r="K4" i="20"/>
  <c r="L4" i="20"/>
  <c r="I24" i="20"/>
  <c r="I25" i="20"/>
  <c r="I12" i="20"/>
  <c r="J12" i="20"/>
  <c r="K12" i="20"/>
  <c r="L12" i="20"/>
  <c r="I16" i="20"/>
  <c r="J16" i="20"/>
  <c r="K16" i="20"/>
  <c r="L16" i="20"/>
  <c r="I26" i="20"/>
  <c r="I7" i="20"/>
  <c r="J7" i="20"/>
  <c r="K7" i="20"/>
  <c r="L7" i="20"/>
  <c r="I11" i="20"/>
  <c r="J11" i="20"/>
  <c r="K11" i="20"/>
  <c r="L11" i="20"/>
  <c r="I27" i="20"/>
  <c r="I28" i="20"/>
  <c r="I29" i="20"/>
  <c r="I30" i="20"/>
  <c r="L5" i="20"/>
  <c r="K5" i="20"/>
  <c r="J5" i="20"/>
  <c r="I5" i="20"/>
  <c r="I31" i="20"/>
  <c r="F5" i="18"/>
  <c r="F39" i="18"/>
  <c r="G39" i="18"/>
  <c r="H39" i="18"/>
  <c r="F35" i="18"/>
  <c r="G35" i="18"/>
  <c r="H35" i="18"/>
  <c r="F36" i="18"/>
  <c r="G36" i="18" s="1"/>
  <c r="H36" i="18"/>
  <c r="F3" i="18"/>
  <c r="G3" i="18"/>
  <c r="F40" i="18"/>
  <c r="G40" i="18" s="1"/>
  <c r="H40" i="18"/>
  <c r="F8" i="18"/>
  <c r="G8" i="18" s="1"/>
  <c r="H8" i="18"/>
  <c r="F21" i="18"/>
  <c r="G21" i="18"/>
  <c r="H21" i="18"/>
  <c r="F38" i="18"/>
  <c r="G38" i="18" s="1"/>
  <c r="H38" i="18"/>
  <c r="F19" i="18"/>
  <c r="G19" i="18" s="1"/>
  <c r="H19" i="18"/>
  <c r="F37" i="18"/>
  <c r="G37" i="18" s="1"/>
  <c r="H37" i="18"/>
  <c r="F10" i="18"/>
  <c r="G10" i="18"/>
  <c r="H10" i="18"/>
  <c r="F18" i="18"/>
  <c r="G18" i="18" s="1"/>
  <c r="H18" i="18"/>
  <c r="F13" i="18"/>
  <c r="G13" i="18" s="1"/>
  <c r="H13" i="18"/>
  <c r="F15" i="18"/>
  <c r="G15" i="18"/>
  <c r="H15" i="18"/>
  <c r="F14" i="18"/>
  <c r="G14" i="18" s="1"/>
  <c r="H14" i="18"/>
  <c r="F17" i="18"/>
  <c r="G17" i="18"/>
  <c r="H17" i="18"/>
  <c r="F32" i="18"/>
  <c r="G32" i="18"/>
  <c r="H32" i="18"/>
  <c r="F22" i="18"/>
  <c r="G22" i="18" s="1"/>
  <c r="H22" i="18"/>
  <c r="F33" i="18"/>
  <c r="G33" i="18" s="1"/>
  <c r="H33" i="18"/>
  <c r="F20" i="18"/>
  <c r="G20" i="18" s="1"/>
  <c r="H20" i="18"/>
  <c r="F34" i="18"/>
  <c r="G34" i="18" s="1"/>
  <c r="H34" i="18"/>
  <c r="F6" i="18"/>
  <c r="G6" i="18" s="1"/>
  <c r="F23" i="18"/>
  <c r="H23" i="18"/>
  <c r="F9" i="18"/>
  <c r="G9" i="18" s="1"/>
  <c r="H9" i="18"/>
  <c r="F4" i="18"/>
  <c r="G4" i="18" s="1"/>
  <c r="F24" i="18"/>
  <c r="H24" i="18"/>
  <c r="F25" i="18"/>
  <c r="H25" i="18"/>
  <c r="F12" i="18"/>
  <c r="G12" i="18" s="1"/>
  <c r="H12" i="18"/>
  <c r="F16" i="18"/>
  <c r="H16" i="18"/>
  <c r="F26" i="18"/>
  <c r="H26" i="18"/>
  <c r="F7" i="18"/>
  <c r="H7" i="18"/>
  <c r="F11" i="18"/>
  <c r="H11" i="18"/>
  <c r="F27" i="18"/>
  <c r="H27" i="18"/>
  <c r="F28" i="18"/>
  <c r="H28" i="18"/>
  <c r="F29" i="18"/>
  <c r="H29" i="18"/>
  <c r="F30" i="18"/>
  <c r="H30" i="18"/>
  <c r="F31" i="18"/>
  <c r="H31" i="18"/>
  <c r="H41" i="18"/>
  <c r="AL3" i="3"/>
  <c r="AM3" i="3"/>
  <c r="AN3" i="3"/>
  <c r="AO3" i="3"/>
  <c r="AP3" i="3"/>
  <c r="AQ3" i="3"/>
  <c r="AR3" i="3"/>
  <c r="AS3" i="3"/>
  <c r="AT3" i="3"/>
  <c r="AU3" i="3"/>
  <c r="AV3" i="3"/>
  <c r="AW3" i="3"/>
  <c r="AL4" i="3"/>
  <c r="AM4" i="3"/>
  <c r="AN4" i="3"/>
  <c r="AO4" i="3"/>
  <c r="AP4" i="3"/>
  <c r="AQ4" i="3"/>
  <c r="AR4" i="3"/>
  <c r="AS4" i="3"/>
  <c r="AT4" i="3"/>
  <c r="AU4" i="3"/>
  <c r="AV4" i="3"/>
  <c r="AW4" i="3"/>
  <c r="AL5" i="3"/>
  <c r="AM5" i="3"/>
  <c r="AN5" i="3"/>
  <c r="AO5" i="3"/>
  <c r="AP5" i="3"/>
  <c r="AQ5" i="3"/>
  <c r="AR5" i="3"/>
  <c r="AS5" i="3"/>
  <c r="AT5" i="3"/>
  <c r="AU5" i="3"/>
  <c r="AV5" i="3"/>
  <c r="AW5" i="3"/>
  <c r="AL6" i="3"/>
  <c r="AM6" i="3"/>
  <c r="AN6" i="3"/>
  <c r="AO6" i="3"/>
  <c r="AP6" i="3"/>
  <c r="AQ6" i="3"/>
  <c r="AR6" i="3"/>
  <c r="AS6" i="3"/>
  <c r="AT6" i="3"/>
  <c r="AU6" i="3"/>
  <c r="AV6" i="3"/>
  <c r="AW6" i="3"/>
  <c r="AL7" i="3"/>
  <c r="AM7" i="3"/>
  <c r="AN7" i="3"/>
  <c r="AO7" i="3"/>
  <c r="AP7" i="3"/>
  <c r="AQ7" i="3"/>
  <c r="AR7" i="3"/>
  <c r="AS7" i="3"/>
  <c r="AT7" i="3"/>
  <c r="AU7" i="3"/>
  <c r="AV7" i="3"/>
  <c r="AW7" i="3"/>
  <c r="AL8" i="3"/>
  <c r="AM8" i="3"/>
  <c r="AN8" i="3"/>
  <c r="AO8" i="3"/>
  <c r="AP8" i="3"/>
  <c r="AQ8" i="3"/>
  <c r="AR8" i="3"/>
  <c r="AS8" i="3"/>
  <c r="AT8" i="3"/>
  <c r="AU8" i="3"/>
  <c r="AV8" i="3"/>
  <c r="AW8" i="3"/>
  <c r="AL9" i="3"/>
  <c r="AM9" i="3"/>
  <c r="AN9" i="3"/>
  <c r="AO9" i="3"/>
  <c r="AP9" i="3"/>
  <c r="AQ9" i="3"/>
  <c r="AR9" i="3"/>
  <c r="AS9" i="3"/>
  <c r="AT9" i="3"/>
  <c r="AU9" i="3"/>
  <c r="AV9" i="3"/>
  <c r="AW9" i="3"/>
  <c r="AL10" i="3"/>
  <c r="AM10" i="3"/>
  <c r="AN10" i="3"/>
  <c r="AO10" i="3"/>
  <c r="AP10" i="3"/>
  <c r="AQ10" i="3"/>
  <c r="AR10" i="3"/>
  <c r="AS10" i="3"/>
  <c r="AS41" i="3" s="1"/>
  <c r="AT10" i="3"/>
  <c r="AU10" i="3"/>
  <c r="AV10" i="3"/>
  <c r="AW10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L14" i="3"/>
  <c r="AL41" i="3" s="1"/>
  <c r="AM14" i="3"/>
  <c r="AN14" i="3"/>
  <c r="AO14" i="3"/>
  <c r="AP14" i="3"/>
  <c r="AQ14" i="3"/>
  <c r="AR14" i="3"/>
  <c r="AS14" i="3"/>
  <c r="AT14" i="3"/>
  <c r="AU14" i="3"/>
  <c r="AV14" i="3"/>
  <c r="AW14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M41" i="3"/>
  <c r="AN41" i="3"/>
  <c r="AO41" i="3"/>
  <c r="AP41" i="3"/>
  <c r="AQ41" i="3"/>
  <c r="AR41" i="3"/>
  <c r="AT41" i="3"/>
  <c r="AH41" i="3"/>
  <c r="AE41" i="3"/>
  <c r="AG41" i="3"/>
  <c r="AK41" i="3"/>
  <c r="AF41" i="3"/>
  <c r="S41" i="3"/>
  <c r="AW41" i="3" l="1"/>
  <c r="K41" i="20"/>
  <c r="J41" i="20"/>
  <c r="G41" i="18"/>
  <c r="AA41" i="3"/>
  <c r="AB41" i="3"/>
  <c r="AD41" i="3"/>
  <c r="AC41" i="3"/>
  <c r="Z41" i="3"/>
  <c r="R41" i="3"/>
  <c r="V41" i="3"/>
  <c r="T41" i="3"/>
  <c r="P41" i="3"/>
  <c r="Q41" i="3"/>
  <c r="Y41" i="3"/>
  <c r="U41" i="3"/>
  <c r="O41" i="3"/>
  <c r="N41" i="3"/>
  <c r="G4" i="17" l="1"/>
  <c r="M4" i="17" s="1"/>
  <c r="G5" i="17"/>
  <c r="M5" i="17" s="1"/>
  <c r="G6" i="17"/>
  <c r="I6" i="17" s="1"/>
  <c r="G7" i="17"/>
  <c r="I7" i="17" s="1"/>
  <c r="G8" i="17"/>
  <c r="I8" i="17" s="1"/>
  <c r="G9" i="17"/>
  <c r="G10" i="17"/>
  <c r="G11" i="17"/>
  <c r="M11" i="17" s="1"/>
  <c r="G12" i="17"/>
  <c r="I12" i="17" s="1"/>
  <c r="G13" i="17"/>
  <c r="I13" i="17" s="1"/>
  <c r="G14" i="17"/>
  <c r="I14" i="17" s="1"/>
  <c r="G15" i="17"/>
  <c r="I15" i="17" s="1"/>
  <c r="G16" i="17"/>
  <c r="M16" i="17" s="1"/>
  <c r="G17" i="17"/>
  <c r="M17" i="17" s="1"/>
  <c r="G18" i="17"/>
  <c r="I18" i="17" s="1"/>
  <c r="G19" i="17"/>
  <c r="I19" i="17" s="1"/>
  <c r="G20" i="17"/>
  <c r="I20" i="17" s="1"/>
  <c r="G21" i="17"/>
  <c r="I21" i="17" s="1"/>
  <c r="G22" i="17"/>
  <c r="I22" i="17" s="1"/>
  <c r="G23" i="17"/>
  <c r="I23" i="17" s="1"/>
  <c r="G24" i="17"/>
  <c r="I24" i="17" s="1"/>
  <c r="G25" i="17"/>
  <c r="M25" i="17" s="1"/>
  <c r="G26" i="17"/>
  <c r="I26" i="17" s="1"/>
  <c r="G27" i="17"/>
  <c r="M27" i="17" s="1"/>
  <c r="G28" i="17"/>
  <c r="G29" i="17"/>
  <c r="I29" i="17" s="1"/>
  <c r="G30" i="17"/>
  <c r="I30" i="17" s="1"/>
  <c r="G31" i="17"/>
  <c r="M31" i="17" s="1"/>
  <c r="G32" i="17"/>
  <c r="G33" i="17"/>
  <c r="I33" i="17" s="1"/>
  <c r="G34" i="17"/>
  <c r="G35" i="17"/>
  <c r="I35" i="17" s="1"/>
  <c r="G36" i="17"/>
  <c r="I36" i="17" s="1"/>
  <c r="G37" i="17"/>
  <c r="I37" i="17" s="1"/>
  <c r="G38" i="17"/>
  <c r="I38" i="17" s="1"/>
  <c r="G39" i="17"/>
  <c r="I39" i="17" s="1"/>
  <c r="G40" i="17"/>
  <c r="I40" i="17" s="1"/>
  <c r="H4" i="17"/>
  <c r="N4" i="17" s="1"/>
  <c r="H5" i="17"/>
  <c r="J5" i="17" s="1"/>
  <c r="H6" i="17"/>
  <c r="K6" i="17" s="1"/>
  <c r="H7" i="17"/>
  <c r="N7" i="17" s="1"/>
  <c r="H8" i="17"/>
  <c r="J8" i="17" s="1"/>
  <c r="H9" i="17"/>
  <c r="N9" i="17" s="1"/>
  <c r="H10" i="17"/>
  <c r="N10" i="17" s="1"/>
  <c r="H11" i="17"/>
  <c r="J11" i="17" s="1"/>
  <c r="H12" i="17"/>
  <c r="J12" i="17" s="1"/>
  <c r="H13" i="17"/>
  <c r="H14" i="17"/>
  <c r="J14" i="17" s="1"/>
  <c r="H15" i="17"/>
  <c r="J15" i="17" s="1"/>
  <c r="H16" i="17"/>
  <c r="N16" i="17" s="1"/>
  <c r="H17" i="17"/>
  <c r="H18" i="17"/>
  <c r="J18" i="17" s="1"/>
  <c r="H19" i="17"/>
  <c r="H20" i="17"/>
  <c r="K20" i="17" s="1"/>
  <c r="H21" i="17"/>
  <c r="J21" i="17" s="1"/>
  <c r="H22" i="17"/>
  <c r="H23" i="17"/>
  <c r="J23" i="17" s="1"/>
  <c r="H24" i="17"/>
  <c r="J24" i="17" s="1"/>
  <c r="H25" i="17"/>
  <c r="J25" i="17" s="1"/>
  <c r="H26" i="17"/>
  <c r="J26" i="17" s="1"/>
  <c r="H27" i="17"/>
  <c r="J27" i="17" s="1"/>
  <c r="H28" i="17"/>
  <c r="J28" i="17" s="1"/>
  <c r="H29" i="17"/>
  <c r="J29" i="17" s="1"/>
  <c r="H30" i="17"/>
  <c r="J30" i="17" s="1"/>
  <c r="H31" i="17"/>
  <c r="H32" i="17"/>
  <c r="J32" i="17" s="1"/>
  <c r="H33" i="17"/>
  <c r="J33" i="17" s="1"/>
  <c r="H34" i="17"/>
  <c r="H35" i="17"/>
  <c r="J35" i="17" s="1"/>
  <c r="H36" i="17"/>
  <c r="J36" i="17" s="1"/>
  <c r="H37" i="17"/>
  <c r="J37" i="17" s="1"/>
  <c r="H38" i="17"/>
  <c r="J38" i="17" s="1"/>
  <c r="H39" i="17"/>
  <c r="H40" i="17"/>
  <c r="J40" i="17" s="1"/>
  <c r="H3" i="17"/>
  <c r="J3" i="17" s="1"/>
  <c r="G3" i="17"/>
  <c r="I3" i="17" s="1"/>
  <c r="M19" i="17"/>
  <c r="I32" i="17"/>
  <c r="C41" i="17"/>
  <c r="D41" i="17"/>
  <c r="E41" i="17"/>
  <c r="F41" i="17"/>
  <c r="H4" i="16"/>
  <c r="J4" i="16" s="1"/>
  <c r="H5" i="16"/>
  <c r="H6" i="16"/>
  <c r="J6" i="16" s="1"/>
  <c r="H7" i="16"/>
  <c r="J7" i="16" s="1"/>
  <c r="H8" i="16"/>
  <c r="J8" i="16" s="1"/>
  <c r="H9" i="16"/>
  <c r="N9" i="16" s="1"/>
  <c r="H10" i="16"/>
  <c r="J10" i="16" s="1"/>
  <c r="H11" i="16"/>
  <c r="N11" i="16" s="1"/>
  <c r="H12" i="16"/>
  <c r="H13" i="16"/>
  <c r="J13" i="16" s="1"/>
  <c r="H14" i="16"/>
  <c r="J14" i="16" s="1"/>
  <c r="H15" i="16"/>
  <c r="J15" i="16" s="1"/>
  <c r="H16" i="16"/>
  <c r="N16" i="16" s="1"/>
  <c r="H17" i="16"/>
  <c r="N17" i="16" s="1"/>
  <c r="H18" i="16"/>
  <c r="N18" i="16" s="1"/>
  <c r="H19" i="16"/>
  <c r="H20" i="16"/>
  <c r="H21" i="16"/>
  <c r="J21" i="16" s="1"/>
  <c r="H22" i="16"/>
  <c r="J22" i="16" s="1"/>
  <c r="H23" i="16"/>
  <c r="J23" i="16" s="1"/>
  <c r="H24" i="16"/>
  <c r="J24" i="16" s="1"/>
  <c r="H25" i="16"/>
  <c r="N25" i="16" s="1"/>
  <c r="H26" i="16"/>
  <c r="J26" i="16" s="1"/>
  <c r="H27" i="16"/>
  <c r="J27" i="16" s="1"/>
  <c r="H28" i="16"/>
  <c r="N28" i="16" s="1"/>
  <c r="H29" i="16"/>
  <c r="J29" i="16" s="1"/>
  <c r="H30" i="16"/>
  <c r="J30" i="16" s="1"/>
  <c r="H31" i="16"/>
  <c r="J31" i="16" s="1"/>
  <c r="H32" i="16"/>
  <c r="J32" i="16" s="1"/>
  <c r="H33" i="16"/>
  <c r="J33" i="16" s="1"/>
  <c r="H34" i="16"/>
  <c r="J34" i="16" s="1"/>
  <c r="H35" i="16"/>
  <c r="J35" i="16" s="1"/>
  <c r="H36" i="16"/>
  <c r="J36" i="16" s="1"/>
  <c r="H37" i="16"/>
  <c r="J37" i="16" s="1"/>
  <c r="H38" i="16"/>
  <c r="J38" i="16" s="1"/>
  <c r="H39" i="16"/>
  <c r="J39" i="16" s="1"/>
  <c r="H40" i="16"/>
  <c r="H3" i="16"/>
  <c r="J3" i="16" s="1"/>
  <c r="G4" i="16"/>
  <c r="M4" i="16" s="1"/>
  <c r="G5" i="16"/>
  <c r="M5" i="16" s="1"/>
  <c r="G6" i="16"/>
  <c r="M6" i="16" s="1"/>
  <c r="G7" i="16"/>
  <c r="G8" i="16"/>
  <c r="I8" i="16" s="1"/>
  <c r="G9" i="16"/>
  <c r="I9" i="16" s="1"/>
  <c r="G10" i="16"/>
  <c r="I10" i="16" s="1"/>
  <c r="G11" i="16"/>
  <c r="M11" i="16" s="1"/>
  <c r="G12" i="16"/>
  <c r="M12" i="16" s="1"/>
  <c r="G13" i="16"/>
  <c r="M13" i="16" s="1"/>
  <c r="G14" i="16"/>
  <c r="M14" i="16" s="1"/>
  <c r="G15" i="16"/>
  <c r="I15" i="16" s="1"/>
  <c r="G16" i="16"/>
  <c r="I16" i="16" s="1"/>
  <c r="G17" i="16"/>
  <c r="I17" i="16" s="1"/>
  <c r="G18" i="16"/>
  <c r="M18" i="16" s="1"/>
  <c r="G19" i="16"/>
  <c r="I19" i="16" s="1"/>
  <c r="G20" i="16"/>
  <c r="I20" i="16" s="1"/>
  <c r="G21" i="16"/>
  <c r="I21" i="16" s="1"/>
  <c r="G22" i="16"/>
  <c r="I22" i="16" s="1"/>
  <c r="G23" i="16"/>
  <c r="M23" i="16" s="1"/>
  <c r="G24" i="16"/>
  <c r="I24" i="16" s="1"/>
  <c r="G25" i="16"/>
  <c r="M25" i="16" s="1"/>
  <c r="G26" i="16"/>
  <c r="I26" i="16" s="1"/>
  <c r="G27" i="16"/>
  <c r="G28" i="16"/>
  <c r="I28" i="16" s="1"/>
  <c r="G29" i="16"/>
  <c r="I29" i="16" s="1"/>
  <c r="G30" i="16"/>
  <c r="I30" i="16" s="1"/>
  <c r="G31" i="16"/>
  <c r="M31" i="16" s="1"/>
  <c r="G32" i="16"/>
  <c r="I32" i="16" s="1"/>
  <c r="G33" i="16"/>
  <c r="I33" i="16" s="1"/>
  <c r="G34" i="16"/>
  <c r="I34" i="16" s="1"/>
  <c r="G35" i="16"/>
  <c r="I35" i="16" s="1"/>
  <c r="G36" i="16"/>
  <c r="I36" i="16" s="1"/>
  <c r="G37" i="16"/>
  <c r="I37" i="16" s="1"/>
  <c r="G38" i="16"/>
  <c r="G39" i="16"/>
  <c r="G40" i="16"/>
  <c r="I40" i="16" s="1"/>
  <c r="G3" i="16"/>
  <c r="I3" i="16" s="1"/>
  <c r="C41" i="16"/>
  <c r="D41" i="16"/>
  <c r="E41" i="16"/>
  <c r="F41" i="16"/>
  <c r="H4" i="15"/>
  <c r="H5" i="15"/>
  <c r="J5" i="15" s="1"/>
  <c r="H6" i="15"/>
  <c r="J6" i="15" s="1"/>
  <c r="H7" i="15"/>
  <c r="J7" i="15" s="1"/>
  <c r="H8" i="15"/>
  <c r="H9" i="15"/>
  <c r="J9" i="15" s="1"/>
  <c r="H10" i="15"/>
  <c r="J10" i="15" s="1"/>
  <c r="H11" i="15"/>
  <c r="J11" i="15" s="1"/>
  <c r="H12" i="15"/>
  <c r="J12" i="15" s="1"/>
  <c r="H13" i="15"/>
  <c r="J13" i="15" s="1"/>
  <c r="H14" i="15"/>
  <c r="N14" i="15" s="1"/>
  <c r="H15" i="15"/>
  <c r="H16" i="15"/>
  <c r="N16" i="15" s="1"/>
  <c r="H17" i="15"/>
  <c r="J17" i="15" s="1"/>
  <c r="H18" i="15"/>
  <c r="N18" i="15" s="1"/>
  <c r="H19" i="15"/>
  <c r="J19" i="15" s="1"/>
  <c r="H20" i="15"/>
  <c r="J20" i="15" s="1"/>
  <c r="H21" i="15"/>
  <c r="J21" i="15" s="1"/>
  <c r="H22" i="15"/>
  <c r="J22" i="15" s="1"/>
  <c r="H23" i="15"/>
  <c r="J23" i="15" s="1"/>
  <c r="H24" i="15"/>
  <c r="J24" i="15" s="1"/>
  <c r="H25" i="15"/>
  <c r="N25" i="15" s="1"/>
  <c r="H26" i="15"/>
  <c r="J26" i="15" s="1"/>
  <c r="H27" i="15"/>
  <c r="J27" i="15" s="1"/>
  <c r="H28" i="15"/>
  <c r="J28" i="15" s="1"/>
  <c r="H29" i="15"/>
  <c r="J29" i="15" s="1"/>
  <c r="H30" i="15"/>
  <c r="J30" i="15" s="1"/>
  <c r="H31" i="15"/>
  <c r="J31" i="15" s="1"/>
  <c r="H32" i="15"/>
  <c r="J32" i="15" s="1"/>
  <c r="H33" i="15"/>
  <c r="J33" i="15" s="1"/>
  <c r="H34" i="15"/>
  <c r="J34" i="15" s="1"/>
  <c r="H35" i="15"/>
  <c r="J35" i="15" s="1"/>
  <c r="H36" i="15"/>
  <c r="J36" i="15" s="1"/>
  <c r="H37" i="15"/>
  <c r="H38" i="15"/>
  <c r="J38" i="15" s="1"/>
  <c r="H39" i="15"/>
  <c r="H40" i="15"/>
  <c r="J40" i="15" s="1"/>
  <c r="H3" i="15"/>
  <c r="J3" i="15" s="1"/>
  <c r="G4" i="15"/>
  <c r="M4" i="15" s="1"/>
  <c r="G5" i="15"/>
  <c r="G6" i="15"/>
  <c r="I6" i="15" s="1"/>
  <c r="G7" i="15"/>
  <c r="I7" i="15" s="1"/>
  <c r="G8" i="15"/>
  <c r="I8" i="15" s="1"/>
  <c r="G9" i="15"/>
  <c r="I9" i="15" s="1"/>
  <c r="G10" i="15"/>
  <c r="I10" i="15" s="1"/>
  <c r="G11" i="15"/>
  <c r="M11" i="15" s="1"/>
  <c r="G12" i="15"/>
  <c r="I12" i="15" s="1"/>
  <c r="G13" i="15"/>
  <c r="M13" i="15" s="1"/>
  <c r="G14" i="15"/>
  <c r="M14" i="15" s="1"/>
  <c r="G15" i="15"/>
  <c r="I15" i="15" s="1"/>
  <c r="G16" i="15"/>
  <c r="G17" i="15"/>
  <c r="I17" i="15" s="1"/>
  <c r="G18" i="15"/>
  <c r="I18" i="15" s="1"/>
  <c r="G19" i="15"/>
  <c r="I19" i="15" s="1"/>
  <c r="G20" i="15"/>
  <c r="M20" i="15" s="1"/>
  <c r="G21" i="15"/>
  <c r="I21" i="15" s="1"/>
  <c r="G22" i="15"/>
  <c r="I22" i="15" s="1"/>
  <c r="G23" i="15"/>
  <c r="M23" i="15" s="1"/>
  <c r="G24" i="15"/>
  <c r="I24" i="15" s="1"/>
  <c r="G25" i="15"/>
  <c r="M25" i="15" s="1"/>
  <c r="G26" i="15"/>
  <c r="I26" i="15" s="1"/>
  <c r="G27" i="15"/>
  <c r="M27" i="15" s="1"/>
  <c r="G28" i="15"/>
  <c r="I28" i="15" s="1"/>
  <c r="G29" i="15"/>
  <c r="I29" i="15" s="1"/>
  <c r="G30" i="15"/>
  <c r="I30" i="15" s="1"/>
  <c r="G31" i="15"/>
  <c r="M31" i="15" s="1"/>
  <c r="G32" i="15"/>
  <c r="I32" i="15" s="1"/>
  <c r="G33" i="15"/>
  <c r="G34" i="15"/>
  <c r="I34" i="15" s="1"/>
  <c r="G35" i="15"/>
  <c r="I35" i="15" s="1"/>
  <c r="G36" i="15"/>
  <c r="G37" i="15"/>
  <c r="I37" i="15" s="1"/>
  <c r="G38" i="15"/>
  <c r="I38" i="15" s="1"/>
  <c r="G39" i="15"/>
  <c r="I39" i="15" s="1"/>
  <c r="G40" i="15"/>
  <c r="I40" i="15" s="1"/>
  <c r="G3" i="15"/>
  <c r="I3" i="15" s="1"/>
  <c r="C41" i="15"/>
  <c r="D41" i="15"/>
  <c r="E41" i="15"/>
  <c r="F41" i="15"/>
  <c r="H33" i="1"/>
  <c r="H34" i="1"/>
  <c r="H35" i="1"/>
  <c r="H36" i="1"/>
  <c r="H37" i="1"/>
  <c r="H38" i="1"/>
  <c r="H39" i="1"/>
  <c r="H40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3" i="14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2" i="13"/>
  <c r="G33" i="13"/>
  <c r="G34" i="13"/>
  <c r="G35" i="13"/>
  <c r="G36" i="13"/>
  <c r="G37" i="13"/>
  <c r="G38" i="13"/>
  <c r="G39" i="13"/>
  <c r="G40" i="13"/>
  <c r="G3" i="13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3" i="13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3" i="12"/>
  <c r="K34" i="17" l="1"/>
  <c r="L22" i="17"/>
  <c r="N26" i="17"/>
  <c r="M6" i="17"/>
  <c r="K40" i="16"/>
  <c r="L12" i="16"/>
  <c r="K28" i="16"/>
  <c r="M18" i="17"/>
  <c r="K4" i="17"/>
  <c r="J9" i="17"/>
  <c r="L19" i="17"/>
  <c r="M7" i="17"/>
  <c r="K23" i="15"/>
  <c r="I5" i="17"/>
  <c r="I11" i="15"/>
  <c r="M9" i="16"/>
  <c r="N4" i="16"/>
  <c r="M21" i="17"/>
  <c r="L10" i="17"/>
  <c r="K36" i="15"/>
  <c r="N19" i="15"/>
  <c r="M19" i="15"/>
  <c r="M10" i="15"/>
  <c r="K33" i="15"/>
  <c r="K5" i="15"/>
  <c r="K39" i="16"/>
  <c r="N30" i="17"/>
  <c r="N5" i="15"/>
  <c r="I23" i="15"/>
  <c r="I4" i="15"/>
  <c r="I23" i="16"/>
  <c r="K3" i="14"/>
  <c r="K37" i="15"/>
  <c r="N21" i="16"/>
  <c r="J18" i="15"/>
  <c r="I25" i="16"/>
  <c r="I5" i="16"/>
  <c r="I4" i="17"/>
  <c r="J37" i="15"/>
  <c r="N11" i="15"/>
  <c r="N23" i="16"/>
  <c r="I4" i="16"/>
  <c r="N3" i="17"/>
  <c r="L10" i="15"/>
  <c r="L9" i="17"/>
  <c r="N7" i="15"/>
  <c r="K32" i="17"/>
  <c r="M7" i="15"/>
  <c r="I18" i="16"/>
  <c r="I9" i="17"/>
  <c r="L5" i="16"/>
  <c r="L23" i="15"/>
  <c r="I39" i="16"/>
  <c r="I11" i="16"/>
  <c r="K7" i="16"/>
  <c r="K38" i="15"/>
  <c r="K19" i="15"/>
  <c r="M9" i="15"/>
  <c r="M20" i="16"/>
  <c r="L4" i="16"/>
  <c r="K28" i="17"/>
  <c r="K10" i="15"/>
  <c r="N23" i="15"/>
  <c r="L18" i="15"/>
  <c r="M19" i="16"/>
  <c r="K4" i="16"/>
  <c r="L27" i="17"/>
  <c r="M28" i="15"/>
  <c r="K18" i="15"/>
  <c r="M29" i="16"/>
  <c r="J18" i="16"/>
  <c r="N14" i="17"/>
  <c r="M28" i="16"/>
  <c r="N21" i="17"/>
  <c r="L25" i="16"/>
  <c r="K13" i="15"/>
  <c r="I36" i="15"/>
  <c r="K4" i="15"/>
  <c r="K32" i="15"/>
  <c r="L4" i="15"/>
  <c r="I12" i="16"/>
  <c r="K23" i="16"/>
  <c r="L9" i="16"/>
  <c r="J34" i="17"/>
  <c r="J40" i="16"/>
  <c r="J20" i="17"/>
  <c r="K21" i="15"/>
  <c r="N10" i="15"/>
  <c r="J6" i="17"/>
  <c r="J4" i="15"/>
  <c r="K39" i="15"/>
  <c r="K20" i="16"/>
  <c r="N12" i="15"/>
  <c r="L23" i="16"/>
  <c r="N18" i="17"/>
  <c r="L4" i="17"/>
  <c r="M29" i="15"/>
  <c r="L19" i="15"/>
  <c r="K28" i="15"/>
  <c r="N10" i="16"/>
  <c r="K36" i="17"/>
  <c r="K9" i="16"/>
  <c r="N26" i="15"/>
  <c r="M6" i="15"/>
  <c r="J9" i="16"/>
  <c r="M26" i="17"/>
  <c r="M12" i="17"/>
  <c r="J7" i="17"/>
  <c r="M5" i="15"/>
  <c r="L25" i="15"/>
  <c r="K37" i="16"/>
  <c r="J25" i="16"/>
  <c r="K21" i="16"/>
  <c r="J12" i="16"/>
  <c r="N7" i="16"/>
  <c r="K33" i="17"/>
  <c r="I25" i="17"/>
  <c r="J19" i="17"/>
  <c r="L12" i="17"/>
  <c r="M21" i="16"/>
  <c r="L19" i="16"/>
  <c r="I25" i="15"/>
  <c r="I20" i="15"/>
  <c r="M18" i="15"/>
  <c r="I5" i="15"/>
  <c r="J20" i="16"/>
  <c r="L11" i="16"/>
  <c r="L7" i="16"/>
  <c r="M24" i="17"/>
  <c r="L18" i="17"/>
  <c r="L11" i="17"/>
  <c r="K6" i="16"/>
  <c r="K26" i="17"/>
  <c r="K12" i="17"/>
  <c r="K12" i="16"/>
  <c r="L5" i="15"/>
  <c r="K25" i="15"/>
  <c r="K24" i="15"/>
  <c r="I33" i="15"/>
  <c r="N24" i="15"/>
  <c r="K20" i="15"/>
  <c r="I14" i="15"/>
  <c r="K9" i="15"/>
  <c r="K35" i="16"/>
  <c r="N24" i="16"/>
  <c r="K11" i="16"/>
  <c r="K18" i="17"/>
  <c r="I11" i="17"/>
  <c r="K5" i="17"/>
  <c r="M13" i="17"/>
  <c r="L21" i="16"/>
  <c r="K11" i="15"/>
  <c r="N9" i="15"/>
  <c r="H41" i="15"/>
  <c r="N41" i="15" s="1"/>
  <c r="M7" i="16"/>
  <c r="N3" i="16"/>
  <c r="M24" i="15"/>
  <c r="I13" i="15"/>
  <c r="L21" i="15"/>
  <c r="J11" i="16"/>
  <c r="I7" i="16"/>
  <c r="K29" i="17"/>
  <c r="M29" i="17"/>
  <c r="L16" i="17"/>
  <c r="M28" i="17"/>
  <c r="I16" i="17"/>
  <c r="K31" i="17"/>
  <c r="I28" i="17"/>
  <c r="K24" i="17"/>
  <c r="M10" i="17"/>
  <c r="K13" i="17"/>
  <c r="I17" i="17"/>
  <c r="M23" i="17"/>
  <c r="M14" i="17"/>
  <c r="I10" i="17"/>
  <c r="K39" i="17"/>
  <c r="K37" i="17"/>
  <c r="K27" i="17"/>
  <c r="I31" i="17"/>
  <c r="I27" i="17"/>
  <c r="M9" i="17"/>
  <c r="L24" i="17"/>
  <c r="M30" i="17"/>
  <c r="K17" i="17"/>
  <c r="J39" i="17"/>
  <c r="N25" i="17"/>
  <c r="J10" i="17"/>
  <c r="J16" i="17"/>
  <c r="K10" i="17"/>
  <c r="N24" i="17"/>
  <c r="K30" i="17"/>
  <c r="N17" i="17"/>
  <c r="K11" i="17"/>
  <c r="N23" i="17"/>
  <c r="L17" i="17"/>
  <c r="K40" i="17"/>
  <c r="N28" i="17"/>
  <c r="J17" i="17"/>
  <c r="N11" i="17"/>
  <c r="J31" i="17"/>
  <c r="L25" i="17"/>
  <c r="L23" i="17"/>
  <c r="K19" i="17"/>
  <c r="J13" i="17"/>
  <c r="K25" i="17"/>
  <c r="M3" i="17"/>
  <c r="K3" i="17"/>
  <c r="L3" i="17" s="1"/>
  <c r="H41" i="17"/>
  <c r="J4" i="17"/>
  <c r="K16" i="17"/>
  <c r="K9" i="17"/>
  <c r="K38" i="17"/>
  <c r="L21" i="17"/>
  <c r="N19" i="17"/>
  <c r="L14" i="17"/>
  <c r="N12" i="17"/>
  <c r="L7" i="17"/>
  <c r="N5" i="17"/>
  <c r="K23" i="17"/>
  <c r="K35" i="17"/>
  <c r="K21" i="17"/>
  <c r="K14" i="17"/>
  <c r="K7" i="17"/>
  <c r="L5" i="17"/>
  <c r="N22" i="17"/>
  <c r="N15" i="17"/>
  <c r="N8" i="17"/>
  <c r="M22" i="17"/>
  <c r="M15" i="17"/>
  <c r="M8" i="17"/>
  <c r="N31" i="17"/>
  <c r="N29" i="17"/>
  <c r="N27" i="17"/>
  <c r="K22" i="17"/>
  <c r="M20" i="17"/>
  <c r="K15" i="17"/>
  <c r="K8" i="17"/>
  <c r="L15" i="17"/>
  <c r="L8" i="17"/>
  <c r="N6" i="17"/>
  <c r="I34" i="17"/>
  <c r="J22" i="17"/>
  <c r="L20" i="17"/>
  <c r="L13" i="17"/>
  <c r="L6" i="17"/>
  <c r="G41" i="17"/>
  <c r="N20" i="17"/>
  <c r="N13" i="17"/>
  <c r="N26" i="16"/>
  <c r="J28" i="16"/>
  <c r="K26" i="16"/>
  <c r="K25" i="16"/>
  <c r="K38" i="16"/>
  <c r="N12" i="16"/>
  <c r="K36" i="16"/>
  <c r="J5" i="16"/>
  <c r="K33" i="16"/>
  <c r="K32" i="16"/>
  <c r="J19" i="16"/>
  <c r="N14" i="16"/>
  <c r="K19" i="16"/>
  <c r="N30" i="16"/>
  <c r="L18" i="16"/>
  <c r="L14" i="16"/>
  <c r="J17" i="16"/>
  <c r="N19" i="16"/>
  <c r="J16" i="16"/>
  <c r="K18" i="16"/>
  <c r="K27" i="16"/>
  <c r="N5" i="16"/>
  <c r="I14" i="16"/>
  <c r="K31" i="16"/>
  <c r="M30" i="16"/>
  <c r="M16" i="16"/>
  <c r="K30" i="16"/>
  <c r="I27" i="16"/>
  <c r="L16" i="16"/>
  <c r="M17" i="16"/>
  <c r="I31" i="16"/>
  <c r="K14" i="16"/>
  <c r="I38" i="16"/>
  <c r="L27" i="16"/>
  <c r="M24" i="16"/>
  <c r="K16" i="16"/>
  <c r="I13" i="16"/>
  <c r="M27" i="16"/>
  <c r="K13" i="16"/>
  <c r="M10" i="16"/>
  <c r="M26" i="16"/>
  <c r="K29" i="16"/>
  <c r="I6" i="16"/>
  <c r="K5" i="16"/>
  <c r="M3" i="16"/>
  <c r="L24" i="16"/>
  <c r="N22" i="16"/>
  <c r="L17" i="16"/>
  <c r="N15" i="16"/>
  <c r="L10" i="16"/>
  <c r="N8" i="16"/>
  <c r="H41" i="16"/>
  <c r="G41" i="16"/>
  <c r="K24" i="16"/>
  <c r="M22" i="16"/>
  <c r="K17" i="16"/>
  <c r="M15" i="16"/>
  <c r="K10" i="16"/>
  <c r="M8" i="16"/>
  <c r="K3" i="16"/>
  <c r="K34" i="16"/>
  <c r="L22" i="16"/>
  <c r="N20" i="16"/>
  <c r="L15" i="16"/>
  <c r="N13" i="16"/>
  <c r="L8" i="16"/>
  <c r="N6" i="16"/>
  <c r="N31" i="16"/>
  <c r="N29" i="16"/>
  <c r="N27" i="16"/>
  <c r="K22" i="16"/>
  <c r="K15" i="16"/>
  <c r="K8" i="16"/>
  <c r="L20" i="16"/>
  <c r="L13" i="16"/>
  <c r="L6" i="16"/>
  <c r="L16" i="15"/>
  <c r="N17" i="15"/>
  <c r="J14" i="15"/>
  <c r="K6" i="15"/>
  <c r="N30" i="15"/>
  <c r="J25" i="15"/>
  <c r="J16" i="15"/>
  <c r="N21" i="15"/>
  <c r="K26" i="15"/>
  <c r="K35" i="15"/>
  <c r="N28" i="15"/>
  <c r="J39" i="15"/>
  <c r="L24" i="15"/>
  <c r="L9" i="15"/>
  <c r="I31" i="15"/>
  <c r="K27" i="15"/>
  <c r="M30" i="15"/>
  <c r="L15" i="15"/>
  <c r="M12" i="15"/>
  <c r="K30" i="15"/>
  <c r="I27" i="15"/>
  <c r="M17" i="15"/>
  <c r="L12" i="15"/>
  <c r="L7" i="15"/>
  <c r="I16" i="15"/>
  <c r="L27" i="15"/>
  <c r="L17" i="15"/>
  <c r="K7" i="15"/>
  <c r="K16" i="15"/>
  <c r="K31" i="15"/>
  <c r="K17" i="15"/>
  <c r="K40" i="15"/>
  <c r="L14" i="15"/>
  <c r="M26" i="15"/>
  <c r="M21" i="15"/>
  <c r="K14" i="15"/>
  <c r="L11" i="15"/>
  <c r="M16" i="15"/>
  <c r="K12" i="15"/>
  <c r="K29" i="15"/>
  <c r="M3" i="15"/>
  <c r="K3" i="15"/>
  <c r="L3" i="15" s="1"/>
  <c r="G41" i="15"/>
  <c r="N22" i="15"/>
  <c r="N8" i="15"/>
  <c r="K34" i="15"/>
  <c r="L22" i="15"/>
  <c r="N20" i="15"/>
  <c r="L8" i="15"/>
  <c r="K22" i="15"/>
  <c r="K15" i="15"/>
  <c r="M22" i="15"/>
  <c r="M15" i="15"/>
  <c r="M8" i="15"/>
  <c r="N31" i="15"/>
  <c r="N29" i="15"/>
  <c r="N27" i="15"/>
  <c r="L20" i="15"/>
  <c r="J15" i="15"/>
  <c r="L13" i="15"/>
  <c r="J8" i="15"/>
  <c r="L6" i="15"/>
  <c r="N15" i="15"/>
  <c r="N13" i="15"/>
  <c r="N6" i="15"/>
  <c r="J41" i="15" l="1"/>
  <c r="K41" i="17"/>
  <c r="M41" i="17"/>
  <c r="I41" i="17"/>
  <c r="N41" i="17"/>
  <c r="J41" i="17"/>
  <c r="L41" i="17"/>
  <c r="M41" i="16"/>
  <c r="I41" i="16"/>
  <c r="L41" i="16"/>
  <c r="J41" i="16"/>
  <c r="N41" i="16"/>
  <c r="L3" i="16"/>
  <c r="M41" i="15"/>
  <c r="I41" i="15"/>
  <c r="L41" i="15"/>
  <c r="K41" i="3" l="1"/>
  <c r="M6" i="14"/>
  <c r="I7" i="14"/>
  <c r="I12" i="14"/>
  <c r="M13" i="14"/>
  <c r="M16" i="14"/>
  <c r="M20" i="14"/>
  <c r="I23" i="14"/>
  <c r="I26" i="14"/>
  <c r="M27" i="14"/>
  <c r="M30" i="14"/>
  <c r="I34" i="14"/>
  <c r="I35" i="14"/>
  <c r="I36" i="14"/>
  <c r="I37" i="14"/>
  <c r="I40" i="14"/>
  <c r="M3" i="12"/>
  <c r="G23" i="1"/>
  <c r="M23" i="1" s="1"/>
  <c r="M5" i="13"/>
  <c r="M6" i="13"/>
  <c r="G29" i="1"/>
  <c r="M29" i="1" s="1"/>
  <c r="G11" i="1"/>
  <c r="M11" i="1" s="1"/>
  <c r="G27" i="1"/>
  <c r="M27" i="1" s="1"/>
  <c r="G9" i="1"/>
  <c r="M9" i="1" s="1"/>
  <c r="I11" i="12"/>
  <c r="G14" i="1"/>
  <c r="M14" i="1" s="1"/>
  <c r="G24" i="1"/>
  <c r="M24" i="1" s="1"/>
  <c r="G19" i="1"/>
  <c r="M19" i="1" s="1"/>
  <c r="M14" i="13"/>
  <c r="I14" i="12"/>
  <c r="G10" i="1"/>
  <c r="M10" i="1" s="1"/>
  <c r="I16" i="13"/>
  <c r="M16" i="12"/>
  <c r="G28" i="1"/>
  <c r="M28" i="1" s="1"/>
  <c r="G15" i="1"/>
  <c r="M15" i="1" s="1"/>
  <c r="G18" i="1"/>
  <c r="M18" i="1" s="1"/>
  <c r="I23" i="13"/>
  <c r="I24" i="13"/>
  <c r="G8" i="1"/>
  <c r="M8" i="1" s="1"/>
  <c r="M25" i="13"/>
  <c r="M25" i="12"/>
  <c r="G32" i="1"/>
  <c r="M27" i="12"/>
  <c r="G3" i="1"/>
  <c r="I28" i="13"/>
  <c r="G33" i="1"/>
  <c r="G34" i="1"/>
  <c r="I30" i="13"/>
  <c r="I30" i="12"/>
  <c r="G5" i="1"/>
  <c r="M5" i="1" s="1"/>
  <c r="G35" i="1"/>
  <c r="I33" i="13"/>
  <c r="G30" i="1"/>
  <c r="M30" i="1" s="1"/>
  <c r="I35" i="13"/>
  <c r="G38" i="1"/>
  <c r="I38" i="13"/>
  <c r="I39" i="13"/>
  <c r="I39" i="12"/>
  <c r="G40" i="1"/>
  <c r="I40" i="13"/>
  <c r="CH4" i="3"/>
  <c r="CI4" i="3"/>
  <c r="CI5" i="3"/>
  <c r="CL5" i="3"/>
  <c r="CG6" i="3"/>
  <c r="CL6" i="3"/>
  <c r="CN6" i="3"/>
  <c r="CO6" i="3"/>
  <c r="CJ7" i="3"/>
  <c r="CM7" i="3"/>
  <c r="CO7" i="3"/>
  <c r="CQ7" i="3"/>
  <c r="CG8" i="3"/>
  <c r="CG9" i="3"/>
  <c r="CI9" i="3"/>
  <c r="CJ9" i="3"/>
  <c r="CH10" i="3"/>
  <c r="CJ10" i="3"/>
  <c r="CM10" i="3"/>
  <c r="CH11" i="3"/>
  <c r="CK11" i="3"/>
  <c r="CO11" i="3"/>
  <c r="CP11" i="3"/>
  <c r="CN12" i="3"/>
  <c r="CP12" i="3"/>
  <c r="CG13" i="3"/>
  <c r="CH13" i="3"/>
  <c r="CN13" i="3"/>
  <c r="CQ13" i="3"/>
  <c r="CH14" i="3"/>
  <c r="CJ14" i="3"/>
  <c r="CQ14" i="3"/>
  <c r="CK15" i="3"/>
  <c r="CM15" i="3"/>
  <c r="CN15" i="3"/>
  <c r="CL16" i="3"/>
  <c r="CN16" i="3"/>
  <c r="CP16" i="3"/>
  <c r="CQ16" i="3"/>
  <c r="CO17" i="3"/>
  <c r="CQ17" i="3"/>
  <c r="CH18" i="3"/>
  <c r="CI18" i="3"/>
  <c r="CL18" i="3"/>
  <c r="CO18" i="3"/>
  <c r="CI19" i="3"/>
  <c r="CK19" i="3"/>
  <c r="CL19" i="3"/>
  <c r="CG20" i="3"/>
  <c r="CL20" i="3"/>
  <c r="CN20" i="3"/>
  <c r="CO20" i="3"/>
  <c r="CJ21" i="3"/>
  <c r="CM21" i="3"/>
  <c r="CO21" i="3"/>
  <c r="CQ21" i="3"/>
  <c r="CG22" i="3"/>
  <c r="CM22" i="3"/>
  <c r="CG23" i="3"/>
  <c r="CI23" i="3"/>
  <c r="CJ23" i="3"/>
  <c r="CP23" i="3"/>
  <c r="CH24" i="3"/>
  <c r="CJ24" i="3"/>
  <c r="CM24" i="3"/>
  <c r="CP24" i="3"/>
  <c r="CH25" i="3"/>
  <c r="CK25" i="3"/>
  <c r="CL25" i="3"/>
  <c r="CO25" i="3"/>
  <c r="CP25" i="3"/>
  <c r="CN26" i="3"/>
  <c r="CP26" i="3"/>
  <c r="CG27" i="3"/>
  <c r="CH27" i="3"/>
  <c r="CN27" i="3"/>
  <c r="CQ27" i="3"/>
  <c r="CH28" i="3"/>
  <c r="CJ28" i="3"/>
  <c r="CQ28" i="3"/>
  <c r="CI29" i="3"/>
  <c r="CJ29" i="3"/>
  <c r="CK29" i="3"/>
  <c r="CM29" i="3"/>
  <c r="CN29" i="3"/>
  <c r="CI30" i="3"/>
  <c r="CL30" i="3"/>
  <c r="CN30" i="3"/>
  <c r="CO30" i="3"/>
  <c r="CP30" i="3"/>
  <c r="CQ30" i="3"/>
  <c r="CH31" i="3"/>
  <c r="CO31" i="3"/>
  <c r="CP31" i="3"/>
  <c r="CQ31" i="3"/>
  <c r="CH32" i="3"/>
  <c r="CI32" i="3"/>
  <c r="CL32" i="3"/>
  <c r="CO32" i="3"/>
  <c r="CI33" i="3"/>
  <c r="CJ33" i="3"/>
  <c r="CK33" i="3"/>
  <c r="CL33" i="3"/>
  <c r="CG34" i="3"/>
  <c r="CL34" i="3"/>
  <c r="CN34" i="3"/>
  <c r="CO34" i="3"/>
  <c r="CQ34" i="3"/>
  <c r="CJ35" i="3"/>
  <c r="CM35" i="3"/>
  <c r="CO35" i="3"/>
  <c r="CQ35" i="3"/>
  <c r="CG36" i="3"/>
  <c r="CJ36" i="3"/>
  <c r="CM36" i="3"/>
  <c r="CN36" i="3"/>
  <c r="CG37" i="3"/>
  <c r="CI37" i="3"/>
  <c r="CJ37" i="3"/>
  <c r="CL37" i="3"/>
  <c r="CP37" i="3"/>
  <c r="CH38" i="3"/>
  <c r="CJ38" i="3"/>
  <c r="CM38" i="3"/>
  <c r="CP38" i="3"/>
  <c r="CH39" i="3"/>
  <c r="CK39" i="3"/>
  <c r="CL39" i="3"/>
  <c r="CO39" i="3"/>
  <c r="CP39" i="3"/>
  <c r="CM40" i="3"/>
  <c r="CN40" i="3"/>
  <c r="CO40" i="3"/>
  <c r="CP40" i="3"/>
  <c r="CQ40" i="3"/>
  <c r="CL40" i="3"/>
  <c r="CK40" i="3"/>
  <c r="CJ40" i="3"/>
  <c r="CI40" i="3"/>
  <c r="CH40" i="3"/>
  <c r="CQ39" i="3"/>
  <c r="CN39" i="3"/>
  <c r="CM39" i="3"/>
  <c r="CJ39" i="3"/>
  <c r="CI39" i="3"/>
  <c r="CQ38" i="3"/>
  <c r="CO38" i="3"/>
  <c r="CN38" i="3"/>
  <c r="CL38" i="3"/>
  <c r="CK38" i="3"/>
  <c r="CI38" i="3"/>
  <c r="CQ37" i="3"/>
  <c r="CO37" i="3"/>
  <c r="CN37" i="3"/>
  <c r="CM37" i="3"/>
  <c r="CK37" i="3"/>
  <c r="CH37" i="3"/>
  <c r="CQ36" i="3"/>
  <c r="CP36" i="3"/>
  <c r="CO36" i="3"/>
  <c r="CL36" i="3"/>
  <c r="CK36" i="3"/>
  <c r="CI36" i="3"/>
  <c r="CH36" i="3"/>
  <c r="CP35" i="3"/>
  <c r="CN35" i="3"/>
  <c r="CL35" i="3"/>
  <c r="CK35" i="3"/>
  <c r="CI35" i="3"/>
  <c r="CH35" i="3"/>
  <c r="CP34" i="3"/>
  <c r="CM34" i="3"/>
  <c r="CK34" i="3"/>
  <c r="CJ34" i="3"/>
  <c r="CI34" i="3"/>
  <c r="CH34" i="3"/>
  <c r="CQ33" i="3"/>
  <c r="CP33" i="3"/>
  <c r="CO33" i="3"/>
  <c r="CN33" i="3"/>
  <c r="CM33" i="3"/>
  <c r="CH33" i="3"/>
  <c r="CQ32" i="3"/>
  <c r="CP32" i="3"/>
  <c r="CN32" i="3"/>
  <c r="CM32" i="3"/>
  <c r="CK32" i="3"/>
  <c r="CJ32" i="3"/>
  <c r="CN31" i="3"/>
  <c r="CM31" i="3"/>
  <c r="CL31" i="3"/>
  <c r="CK31" i="3"/>
  <c r="CJ31" i="3"/>
  <c r="CI31" i="3"/>
  <c r="CM30" i="3"/>
  <c r="CK30" i="3"/>
  <c r="CJ30" i="3"/>
  <c r="CH30" i="3"/>
  <c r="CQ29" i="3"/>
  <c r="CP29" i="3"/>
  <c r="CO29" i="3"/>
  <c r="CL29" i="3"/>
  <c r="CH29" i="3"/>
  <c r="CP28" i="3"/>
  <c r="CO28" i="3"/>
  <c r="CN28" i="3"/>
  <c r="CM28" i="3"/>
  <c r="CL28" i="3"/>
  <c r="CK28" i="3"/>
  <c r="CI28" i="3"/>
  <c r="CP27" i="3"/>
  <c r="CO27" i="3"/>
  <c r="CM27" i="3"/>
  <c r="CL27" i="3"/>
  <c r="CK27" i="3"/>
  <c r="CJ27" i="3"/>
  <c r="CI27" i="3"/>
  <c r="CQ26" i="3"/>
  <c r="CO26" i="3"/>
  <c r="CM26" i="3"/>
  <c r="CL26" i="3"/>
  <c r="CK26" i="3"/>
  <c r="CJ26" i="3"/>
  <c r="CI26" i="3"/>
  <c r="CH26" i="3"/>
  <c r="CQ25" i="3"/>
  <c r="CN25" i="3"/>
  <c r="CM25" i="3"/>
  <c r="CJ25" i="3"/>
  <c r="CI25" i="3"/>
  <c r="CQ24" i="3"/>
  <c r="CO24" i="3"/>
  <c r="CN24" i="3"/>
  <c r="CL24" i="3"/>
  <c r="CK24" i="3"/>
  <c r="CI24" i="3"/>
  <c r="CQ23" i="3"/>
  <c r="CO23" i="3"/>
  <c r="CN23" i="3"/>
  <c r="CM23" i="3"/>
  <c r="CL23" i="3"/>
  <c r="CK23" i="3"/>
  <c r="CH23" i="3"/>
  <c r="CQ22" i="3"/>
  <c r="CP22" i="3"/>
  <c r="CO22" i="3"/>
  <c r="CN22" i="3"/>
  <c r="CL22" i="3"/>
  <c r="CK22" i="3"/>
  <c r="CJ22" i="3"/>
  <c r="CI22" i="3"/>
  <c r="CH22" i="3"/>
  <c r="CP21" i="3"/>
  <c r="CN21" i="3"/>
  <c r="CL21" i="3"/>
  <c r="CK21" i="3"/>
  <c r="CI21" i="3"/>
  <c r="CH21" i="3"/>
  <c r="CQ20" i="3"/>
  <c r="CP20" i="3"/>
  <c r="CM20" i="3"/>
  <c r="CK20" i="3"/>
  <c r="CJ20" i="3"/>
  <c r="CI20" i="3"/>
  <c r="CH20" i="3"/>
  <c r="CQ19" i="3"/>
  <c r="CP19" i="3"/>
  <c r="CO19" i="3"/>
  <c r="CN19" i="3"/>
  <c r="CM19" i="3"/>
  <c r="CJ19" i="3"/>
  <c r="CH19" i="3"/>
  <c r="CQ18" i="3"/>
  <c r="CP18" i="3"/>
  <c r="CN18" i="3"/>
  <c r="CM18" i="3"/>
  <c r="CK18" i="3"/>
  <c r="CJ18" i="3"/>
  <c r="CP17" i="3"/>
  <c r="CN17" i="3"/>
  <c r="CM17" i="3"/>
  <c r="CL17" i="3"/>
  <c r="CK17" i="3"/>
  <c r="CJ17" i="3"/>
  <c r="CI17" i="3"/>
  <c r="CH17" i="3"/>
  <c r="CO16" i="3"/>
  <c r="CM16" i="3"/>
  <c r="CK16" i="3"/>
  <c r="CJ16" i="3"/>
  <c r="CI16" i="3"/>
  <c r="CH16" i="3"/>
  <c r="CQ15" i="3"/>
  <c r="CP15" i="3"/>
  <c r="CO15" i="3"/>
  <c r="CL15" i="3"/>
  <c r="CJ15" i="3"/>
  <c r="CI15" i="3"/>
  <c r="CH15" i="3"/>
  <c r="CP14" i="3"/>
  <c r="CO14" i="3"/>
  <c r="CN14" i="3"/>
  <c r="CM14" i="3"/>
  <c r="CL14" i="3"/>
  <c r="CK14" i="3"/>
  <c r="CI14" i="3"/>
  <c r="CP13" i="3"/>
  <c r="CO13" i="3"/>
  <c r="CM13" i="3"/>
  <c r="CL13" i="3"/>
  <c r="CK13" i="3"/>
  <c r="CJ13" i="3"/>
  <c r="CI13" i="3"/>
  <c r="CQ12" i="3"/>
  <c r="CO12" i="3"/>
  <c r="CM12" i="3"/>
  <c r="CL12" i="3"/>
  <c r="CK12" i="3"/>
  <c r="CJ12" i="3"/>
  <c r="CI12" i="3"/>
  <c r="CH12" i="3"/>
  <c r="CQ11" i="3"/>
  <c r="CN11" i="3"/>
  <c r="CM11" i="3"/>
  <c r="CL11" i="3"/>
  <c r="CJ11" i="3"/>
  <c r="CI11" i="3"/>
  <c r="CQ10" i="3"/>
  <c r="CP10" i="3"/>
  <c r="CO10" i="3"/>
  <c r="CN10" i="3"/>
  <c r="CL10" i="3"/>
  <c r="CK10" i="3"/>
  <c r="CI10" i="3"/>
  <c r="CQ9" i="3"/>
  <c r="CP9" i="3"/>
  <c r="CO9" i="3"/>
  <c r="CN9" i="3"/>
  <c r="CM9" i="3"/>
  <c r="CL9" i="3"/>
  <c r="CK9" i="3"/>
  <c r="CH9" i="3"/>
  <c r="CQ8" i="3"/>
  <c r="CP8" i="3"/>
  <c r="CO8" i="3"/>
  <c r="CN8" i="3"/>
  <c r="CM8" i="3"/>
  <c r="CL8" i="3"/>
  <c r="CK8" i="3"/>
  <c r="CJ8" i="3"/>
  <c r="CI8" i="3"/>
  <c r="CH8" i="3"/>
  <c r="CP7" i="3"/>
  <c r="CN7" i="3"/>
  <c r="CL7" i="3"/>
  <c r="CK7" i="3"/>
  <c r="CI7" i="3"/>
  <c r="CH7" i="3"/>
  <c r="CQ6" i="3"/>
  <c r="CP6" i="3"/>
  <c r="CM6" i="3"/>
  <c r="CK6" i="3"/>
  <c r="CJ6" i="3"/>
  <c r="CI6" i="3"/>
  <c r="CH6" i="3"/>
  <c r="CQ5" i="3"/>
  <c r="CP5" i="3"/>
  <c r="CO5" i="3"/>
  <c r="CN5" i="3"/>
  <c r="CM5" i="3"/>
  <c r="CK5" i="3"/>
  <c r="CJ5" i="3"/>
  <c r="CH5" i="3"/>
  <c r="CQ4" i="3"/>
  <c r="CP4" i="3"/>
  <c r="CO4" i="3"/>
  <c r="CN4" i="3"/>
  <c r="CM4" i="3"/>
  <c r="CL4" i="3"/>
  <c r="CK4" i="3"/>
  <c r="CJ4" i="3"/>
  <c r="CQ3" i="3"/>
  <c r="CP3" i="3"/>
  <c r="CO3" i="3"/>
  <c r="CL3" i="3"/>
  <c r="CI3" i="3"/>
  <c r="CH3" i="3"/>
  <c r="CG40" i="3"/>
  <c r="CG39" i="3"/>
  <c r="CG38" i="3"/>
  <c r="CG35" i="3"/>
  <c r="CG33" i="3"/>
  <c r="CG32" i="3"/>
  <c r="CG31" i="3"/>
  <c r="CG30" i="3"/>
  <c r="CG29" i="3"/>
  <c r="CG28" i="3"/>
  <c r="CG26" i="3"/>
  <c r="CG25" i="3"/>
  <c r="CG24" i="3"/>
  <c r="CG21" i="3"/>
  <c r="CG19" i="3"/>
  <c r="CG18" i="3"/>
  <c r="CG17" i="3"/>
  <c r="CG16" i="3"/>
  <c r="CG15" i="3"/>
  <c r="CG14" i="3"/>
  <c r="CG12" i="3"/>
  <c r="CG11" i="3"/>
  <c r="CG10" i="3"/>
  <c r="CG7" i="3"/>
  <c r="CG5" i="3"/>
  <c r="CG4" i="3"/>
  <c r="CG3" i="3"/>
  <c r="BQ41" i="3"/>
  <c r="BH41" i="3"/>
  <c r="J5" i="12"/>
  <c r="N11" i="13"/>
  <c r="J11" i="12"/>
  <c r="N18" i="13"/>
  <c r="N19" i="12"/>
  <c r="N25" i="13"/>
  <c r="J25" i="12"/>
  <c r="J26" i="12"/>
  <c r="J32" i="13"/>
  <c r="J32" i="12"/>
  <c r="J33" i="13"/>
  <c r="J33" i="12"/>
  <c r="J34" i="13"/>
  <c r="J34" i="14"/>
  <c r="J35" i="14"/>
  <c r="J37" i="13"/>
  <c r="J37" i="12"/>
  <c r="J38" i="14"/>
  <c r="J39" i="13"/>
  <c r="J39" i="12"/>
  <c r="J40" i="13"/>
  <c r="J40" i="12"/>
  <c r="BE41" i="3"/>
  <c r="BF41" i="3"/>
  <c r="BG41" i="3"/>
  <c r="J5" i="13"/>
  <c r="J7" i="13"/>
  <c r="J7" i="12"/>
  <c r="N12" i="13"/>
  <c r="J14" i="13"/>
  <c r="N14" i="12"/>
  <c r="N15" i="13"/>
  <c r="N16" i="12"/>
  <c r="N22" i="13"/>
  <c r="N28" i="12"/>
  <c r="J29" i="13"/>
  <c r="J29" i="12"/>
  <c r="N30" i="13"/>
  <c r="J35" i="13"/>
  <c r="J36" i="13"/>
  <c r="J15" i="12"/>
  <c r="N28" i="13"/>
  <c r="J36" i="12"/>
  <c r="G4" i="1"/>
  <c r="M4" i="1" s="1"/>
  <c r="G6" i="1"/>
  <c r="M6" i="1" s="1"/>
  <c r="G7" i="1"/>
  <c r="M7" i="1" s="1"/>
  <c r="G12" i="1"/>
  <c r="M12" i="1" s="1"/>
  <c r="G13" i="1"/>
  <c r="M13" i="1" s="1"/>
  <c r="G16" i="1"/>
  <c r="M16" i="1" s="1"/>
  <c r="G17" i="1"/>
  <c r="M17" i="1" s="1"/>
  <c r="G20" i="1"/>
  <c r="M20" i="1" s="1"/>
  <c r="G21" i="1"/>
  <c r="M21" i="1" s="1"/>
  <c r="G22" i="1"/>
  <c r="M22" i="1" s="1"/>
  <c r="G25" i="1"/>
  <c r="M25" i="1" s="1"/>
  <c r="G26" i="1"/>
  <c r="M26" i="1" s="1"/>
  <c r="G31" i="1"/>
  <c r="M31" i="1" s="1"/>
  <c r="G36" i="1"/>
  <c r="G37" i="1"/>
  <c r="G39" i="1"/>
  <c r="I9" i="13"/>
  <c r="I15" i="12"/>
  <c r="M28" i="12"/>
  <c r="I29" i="12"/>
  <c r="I37" i="13"/>
  <c r="J4" i="14"/>
  <c r="N9" i="14"/>
  <c r="N11" i="14"/>
  <c r="J14" i="14"/>
  <c r="J15" i="14"/>
  <c r="J18" i="14"/>
  <c r="J23" i="14"/>
  <c r="N24" i="14"/>
  <c r="J27" i="14"/>
  <c r="J28" i="14"/>
  <c r="J29" i="14"/>
  <c r="N30" i="14"/>
  <c r="J36" i="14"/>
  <c r="J37" i="14"/>
  <c r="J39" i="14"/>
  <c r="J3" i="14"/>
  <c r="M4" i="14"/>
  <c r="M5" i="14"/>
  <c r="I8" i="14"/>
  <c r="I10" i="14"/>
  <c r="I11" i="14"/>
  <c r="I14" i="14"/>
  <c r="I15" i="14"/>
  <c r="I17" i="14"/>
  <c r="I18" i="14"/>
  <c r="M19" i="14"/>
  <c r="I22" i="14"/>
  <c r="I24" i="14"/>
  <c r="I25" i="14"/>
  <c r="M28" i="14"/>
  <c r="M29" i="14"/>
  <c r="M31" i="14"/>
  <c r="I32" i="14"/>
  <c r="I33" i="14"/>
  <c r="I38" i="14"/>
  <c r="I39" i="14"/>
  <c r="I3" i="14"/>
  <c r="M25" i="14"/>
  <c r="I28" i="14"/>
  <c r="C41" i="14"/>
  <c r="D41" i="14"/>
  <c r="E41" i="14"/>
  <c r="F41" i="14"/>
  <c r="N8" i="13"/>
  <c r="J9" i="13"/>
  <c r="J10" i="13"/>
  <c r="J16" i="13"/>
  <c r="J17" i="13"/>
  <c r="N19" i="13"/>
  <c r="N20" i="13"/>
  <c r="J21" i="13"/>
  <c r="J23" i="13"/>
  <c r="J24" i="13"/>
  <c r="N31" i="13"/>
  <c r="J38" i="13"/>
  <c r="N3" i="13"/>
  <c r="I4" i="13"/>
  <c r="I10" i="13"/>
  <c r="I11" i="13"/>
  <c r="I12" i="13"/>
  <c r="I13" i="13"/>
  <c r="M15" i="13"/>
  <c r="I17" i="13"/>
  <c r="I19" i="13"/>
  <c r="I26" i="13"/>
  <c r="I29" i="13"/>
  <c r="M31" i="13"/>
  <c r="M3" i="13"/>
  <c r="C41" i="13"/>
  <c r="D41" i="13"/>
  <c r="E41" i="13"/>
  <c r="F41" i="13"/>
  <c r="I6" i="12"/>
  <c r="I10" i="12"/>
  <c r="I12" i="12"/>
  <c r="M13" i="12"/>
  <c r="M24" i="12"/>
  <c r="M26" i="12"/>
  <c r="M31" i="12"/>
  <c r="I38" i="12"/>
  <c r="I40" i="12"/>
  <c r="J6" i="12"/>
  <c r="N10" i="12"/>
  <c r="J13" i="12"/>
  <c r="N17" i="12"/>
  <c r="J20" i="12"/>
  <c r="N21" i="12"/>
  <c r="N24" i="12"/>
  <c r="J27" i="12"/>
  <c r="N31" i="12"/>
  <c r="J34" i="12"/>
  <c r="J35" i="12"/>
  <c r="N3" i="12"/>
  <c r="C41" i="12"/>
  <c r="D41" i="12"/>
  <c r="E41" i="12"/>
  <c r="F41" i="12"/>
  <c r="E41" i="1"/>
  <c r="H41" i="1" l="1"/>
  <c r="M14" i="14"/>
  <c r="L18" i="14"/>
  <c r="M11" i="14"/>
  <c r="M19" i="13"/>
  <c r="CH41" i="3"/>
  <c r="CI41" i="3"/>
  <c r="CG41" i="3"/>
  <c r="CL41" i="3"/>
  <c r="CO41" i="3"/>
  <c r="CP41" i="3"/>
  <c r="CQ41" i="3"/>
  <c r="I27" i="14"/>
  <c r="M26" i="14"/>
  <c r="M18" i="14"/>
  <c r="K25" i="14"/>
  <c r="M17" i="14"/>
  <c r="I13" i="14"/>
  <c r="M12" i="14"/>
  <c r="I30" i="14"/>
  <c r="I5" i="14"/>
  <c r="BU41" i="3"/>
  <c r="I31" i="14"/>
  <c r="L6" i="14"/>
  <c r="BX41" i="3"/>
  <c r="CA41" i="3"/>
  <c r="I6" i="14"/>
  <c r="CB41" i="3"/>
  <c r="BV41" i="3"/>
  <c r="BZ41" i="3"/>
  <c r="CN3" i="3"/>
  <c r="CN41" i="3" s="1"/>
  <c r="CM3" i="3"/>
  <c r="CM41" i="3" s="1"/>
  <c r="BY41" i="3"/>
  <c r="CC41" i="3"/>
  <c r="I19" i="14"/>
  <c r="N4" i="14"/>
  <c r="CE41" i="3"/>
  <c r="CK3" i="3"/>
  <c r="CK41" i="3" s="1"/>
  <c r="I4" i="14"/>
  <c r="CD41" i="3"/>
  <c r="K18" i="14"/>
  <c r="L13" i="14"/>
  <c r="CJ3" i="3"/>
  <c r="CJ41" i="3" s="1"/>
  <c r="I26" i="12"/>
  <c r="K32" i="14"/>
  <c r="BW41" i="3"/>
  <c r="I25" i="12"/>
  <c r="N18" i="14"/>
  <c r="K10" i="14"/>
  <c r="BK41" i="3"/>
  <c r="BJ41" i="3"/>
  <c r="BR41" i="3"/>
  <c r="BP41" i="3"/>
  <c r="BS41" i="3"/>
  <c r="BO41" i="3"/>
  <c r="BN41" i="3"/>
  <c r="BM41" i="3"/>
  <c r="BL41" i="3"/>
  <c r="BI41" i="3"/>
  <c r="I29" i="14"/>
  <c r="L8" i="14"/>
  <c r="L15" i="14"/>
  <c r="M4" i="13"/>
  <c r="L14" i="14"/>
  <c r="L22" i="14"/>
  <c r="J32" i="14"/>
  <c r="L24" i="14"/>
  <c r="L23" i="14"/>
  <c r="L16" i="14"/>
  <c r="M7" i="14"/>
  <c r="K6" i="14"/>
  <c r="L17" i="14"/>
  <c r="J9" i="14"/>
  <c r="L4" i="14"/>
  <c r="J8" i="14"/>
  <c r="K19" i="13"/>
  <c r="N10" i="13"/>
  <c r="N10" i="14"/>
  <c r="K10" i="12"/>
  <c r="K4" i="14"/>
  <c r="L9" i="14"/>
  <c r="K40" i="14"/>
  <c r="J40" i="14"/>
  <c r="K33" i="14"/>
  <c r="J33" i="14"/>
  <c r="J26" i="14"/>
  <c r="N26" i="14"/>
  <c r="L19" i="14"/>
  <c r="K19" i="14"/>
  <c r="N19" i="14"/>
  <c r="J19" i="14"/>
  <c r="L12" i="14"/>
  <c r="N12" i="14"/>
  <c r="K12" i="14"/>
  <c r="J12" i="14"/>
  <c r="N5" i="14"/>
  <c r="J5" i="14"/>
  <c r="L5" i="14"/>
  <c r="K5" i="14"/>
  <c r="K4" i="13"/>
  <c r="N4" i="13"/>
  <c r="L20" i="14"/>
  <c r="J20" i="14"/>
  <c r="L21" i="14"/>
  <c r="J21" i="14"/>
  <c r="J7" i="14"/>
  <c r="N7" i="14"/>
  <c r="J20" i="13"/>
  <c r="L19" i="13"/>
  <c r="N26" i="13"/>
  <c r="J26" i="13"/>
  <c r="N12" i="12"/>
  <c r="J12" i="12"/>
  <c r="J19" i="13"/>
  <c r="N5" i="12"/>
  <c r="J3" i="12"/>
  <c r="H41" i="13"/>
  <c r="N26" i="12"/>
  <c r="L3" i="13"/>
  <c r="J3" i="13"/>
  <c r="J19" i="12"/>
  <c r="L24" i="12"/>
  <c r="K19" i="12"/>
  <c r="J12" i="13"/>
  <c r="J23" i="12"/>
  <c r="N23" i="12"/>
  <c r="J22" i="12"/>
  <c r="N22" i="12"/>
  <c r="J8" i="12"/>
  <c r="N8" i="12"/>
  <c r="N9" i="12"/>
  <c r="J9" i="12"/>
  <c r="J13" i="13"/>
  <c r="N13" i="13"/>
  <c r="J6" i="13"/>
  <c r="N6" i="13"/>
  <c r="N27" i="13"/>
  <c r="J27" i="13"/>
  <c r="J18" i="12"/>
  <c r="N18" i="12"/>
  <c r="N4" i="12"/>
  <c r="J4" i="12"/>
  <c r="N7" i="12"/>
  <c r="N25" i="12"/>
  <c r="L17" i="12"/>
  <c r="J24" i="12"/>
  <c r="J10" i="12"/>
  <c r="K33" i="12"/>
  <c r="L4" i="13"/>
  <c r="N11" i="12"/>
  <c r="H41" i="12"/>
  <c r="N41" i="12" s="1"/>
  <c r="K32" i="12"/>
  <c r="K5" i="12"/>
  <c r="K37" i="12"/>
  <c r="L18" i="12"/>
  <c r="L27" i="13"/>
  <c r="J21" i="12"/>
  <c r="L4" i="12"/>
  <c r="L3" i="1"/>
  <c r="M3" i="1"/>
  <c r="M26" i="13"/>
  <c r="I6" i="13"/>
  <c r="K3" i="13"/>
  <c r="K39" i="12"/>
  <c r="K26" i="13"/>
  <c r="K6" i="13"/>
  <c r="K6" i="12"/>
  <c r="K5" i="13"/>
  <c r="I3" i="13"/>
  <c r="K11" i="13"/>
  <c r="K12" i="12"/>
  <c r="I5" i="13"/>
  <c r="L12" i="12"/>
  <c r="L5" i="13"/>
  <c r="K33" i="13"/>
  <c r="M6" i="12"/>
  <c r="K36" i="12"/>
  <c r="I36" i="12"/>
  <c r="I8" i="12"/>
  <c r="M8" i="12"/>
  <c r="I7" i="12"/>
  <c r="M7" i="12"/>
  <c r="K7" i="12"/>
  <c r="L7" i="12"/>
  <c r="I35" i="12"/>
  <c r="K35" i="12"/>
  <c r="M23" i="12"/>
  <c r="I23" i="12"/>
  <c r="K23" i="12"/>
  <c r="L23" i="12"/>
  <c r="M22" i="12"/>
  <c r="L22" i="12"/>
  <c r="I22" i="12"/>
  <c r="K22" i="12"/>
  <c r="K21" i="12"/>
  <c r="I21" i="12"/>
  <c r="I9" i="12"/>
  <c r="M9" i="12"/>
  <c r="K9" i="12"/>
  <c r="L9" i="12"/>
  <c r="K36" i="13"/>
  <c r="I36" i="13"/>
  <c r="I22" i="13"/>
  <c r="L22" i="13"/>
  <c r="M22" i="13"/>
  <c r="M8" i="13"/>
  <c r="I8" i="13"/>
  <c r="K8" i="13"/>
  <c r="I21" i="13"/>
  <c r="K21" i="13"/>
  <c r="M21" i="13"/>
  <c r="M7" i="13"/>
  <c r="K7" i="13"/>
  <c r="I7" i="13"/>
  <c r="K34" i="12"/>
  <c r="I34" i="12"/>
  <c r="M20" i="12"/>
  <c r="I20" i="12"/>
  <c r="K20" i="12"/>
  <c r="K34" i="13"/>
  <c r="I34" i="13"/>
  <c r="M20" i="13"/>
  <c r="I20" i="13"/>
  <c r="K32" i="13"/>
  <c r="I32" i="13"/>
  <c r="L18" i="13"/>
  <c r="M18" i="13"/>
  <c r="K18" i="13"/>
  <c r="I18" i="13"/>
  <c r="I19" i="12"/>
  <c r="I5" i="12"/>
  <c r="I15" i="13"/>
  <c r="I33" i="12"/>
  <c r="K18" i="12"/>
  <c r="K4" i="12"/>
  <c r="I14" i="13"/>
  <c r="K20" i="13"/>
  <c r="M18" i="12"/>
  <c r="M4" i="12"/>
  <c r="I18" i="12"/>
  <c r="I32" i="12"/>
  <c r="I4" i="12"/>
  <c r="L31" i="12"/>
  <c r="M12" i="13"/>
  <c r="M30" i="13"/>
  <c r="M11" i="13"/>
  <c r="M19" i="12"/>
  <c r="I13" i="12"/>
  <c r="M5" i="12"/>
  <c r="M29" i="13"/>
  <c r="L19" i="12"/>
  <c r="L5" i="12"/>
  <c r="K26" i="12"/>
  <c r="M12" i="12"/>
  <c r="K7" i="14"/>
  <c r="L7" i="14"/>
  <c r="N25" i="14"/>
  <c r="N21" i="14"/>
  <c r="J10" i="14"/>
  <c r="K21" i="14"/>
  <c r="J17" i="14"/>
  <c r="J16" i="14"/>
  <c r="J25" i="14"/>
  <c r="K13" i="14"/>
  <c r="J31" i="14"/>
  <c r="J24" i="14"/>
  <c r="N23" i="14"/>
  <c r="J11" i="14"/>
  <c r="L27" i="14"/>
  <c r="L11" i="14"/>
  <c r="J22" i="14"/>
  <c r="L10" i="14"/>
  <c r="L25" i="14"/>
  <c r="J6" i="14"/>
  <c r="N14" i="14"/>
  <c r="J30" i="14"/>
  <c r="K14" i="14"/>
  <c r="K34" i="14"/>
  <c r="N17" i="14"/>
  <c r="N28" i="14"/>
  <c r="J13" i="14"/>
  <c r="K17" i="14"/>
  <c r="K27" i="14"/>
  <c r="K28" i="14"/>
  <c r="K26" i="14"/>
  <c r="K16" i="14"/>
  <c r="N16" i="14"/>
  <c r="K11" i="14"/>
  <c r="M24" i="14"/>
  <c r="K9" i="14"/>
  <c r="M23" i="14"/>
  <c r="I16" i="14"/>
  <c r="K30" i="14"/>
  <c r="K20" i="14"/>
  <c r="M10" i="14"/>
  <c r="K38" i="14"/>
  <c r="K31" i="14"/>
  <c r="I21" i="14"/>
  <c r="I9" i="14"/>
  <c r="K37" i="14"/>
  <c r="K23" i="14"/>
  <c r="I20" i="14"/>
  <c r="K24" i="14"/>
  <c r="M9" i="14"/>
  <c r="K36" i="14"/>
  <c r="K35" i="14"/>
  <c r="K29" i="14"/>
  <c r="M21" i="14"/>
  <c r="M3" i="14"/>
  <c r="H41" i="14"/>
  <c r="G41" i="14"/>
  <c r="M22" i="14"/>
  <c r="N20" i="14"/>
  <c r="N13" i="14"/>
  <c r="N29" i="14"/>
  <c r="N27" i="14"/>
  <c r="K22" i="14"/>
  <c r="K15" i="14"/>
  <c r="K8" i="14"/>
  <c r="N22" i="14"/>
  <c r="N15" i="14"/>
  <c r="N8" i="14"/>
  <c r="M8" i="14"/>
  <c r="N31" i="14"/>
  <c r="K39" i="14"/>
  <c r="M15" i="14"/>
  <c r="N6" i="14"/>
  <c r="J31" i="13"/>
  <c r="K14" i="13"/>
  <c r="J30" i="13"/>
  <c r="N24" i="13"/>
  <c r="L25" i="13"/>
  <c r="K28" i="13"/>
  <c r="K24" i="13"/>
  <c r="L24" i="13"/>
  <c r="K37" i="13"/>
  <c r="K40" i="13"/>
  <c r="J28" i="13"/>
  <c r="N17" i="13"/>
  <c r="L11" i="13"/>
  <c r="K27" i="13"/>
  <c r="M17" i="13"/>
  <c r="K17" i="13"/>
  <c r="M13" i="13"/>
  <c r="K31" i="13"/>
  <c r="M28" i="13"/>
  <c r="I25" i="13"/>
  <c r="K13" i="13"/>
  <c r="L10" i="13"/>
  <c r="I31" i="13"/>
  <c r="K25" i="13"/>
  <c r="M10" i="13"/>
  <c r="K30" i="13"/>
  <c r="L12" i="13"/>
  <c r="K10" i="13"/>
  <c r="K12" i="13"/>
  <c r="K29" i="13"/>
  <c r="L17" i="13"/>
  <c r="M24" i="13"/>
  <c r="K15" i="13"/>
  <c r="N16" i="13"/>
  <c r="M23" i="13"/>
  <c r="G41" i="13"/>
  <c r="I27" i="13"/>
  <c r="J25" i="13"/>
  <c r="L23" i="13"/>
  <c r="N21" i="13"/>
  <c r="J18" i="13"/>
  <c r="L16" i="13"/>
  <c r="N14" i="13"/>
  <c r="J11" i="13"/>
  <c r="L9" i="13"/>
  <c r="N7" i="13"/>
  <c r="J4" i="13"/>
  <c r="K38" i="13"/>
  <c r="K23" i="13"/>
  <c r="K16" i="13"/>
  <c r="K9" i="13"/>
  <c r="N23" i="13"/>
  <c r="N9" i="13"/>
  <c r="M16" i="13"/>
  <c r="M9" i="13"/>
  <c r="K35" i="13"/>
  <c r="L21" i="13"/>
  <c r="L14" i="13"/>
  <c r="L7" i="13"/>
  <c r="N5" i="13"/>
  <c r="L8" i="13"/>
  <c r="K22" i="13"/>
  <c r="K39" i="13"/>
  <c r="M27" i="13"/>
  <c r="J22" i="13"/>
  <c r="L20" i="13"/>
  <c r="J15" i="13"/>
  <c r="L13" i="13"/>
  <c r="J8" i="13"/>
  <c r="L6" i="13"/>
  <c r="L15" i="13"/>
  <c r="N29" i="13"/>
  <c r="M29" i="12"/>
  <c r="I17" i="12"/>
  <c r="K15" i="12"/>
  <c r="I16" i="12"/>
  <c r="K24" i="12"/>
  <c r="I37" i="12"/>
  <c r="I27" i="12"/>
  <c r="I24" i="12"/>
  <c r="M21" i="12"/>
  <c r="M10" i="12"/>
  <c r="K38" i="12"/>
  <c r="M30" i="12"/>
  <c r="K29" i="12"/>
  <c r="L14" i="12"/>
  <c r="M15" i="12"/>
  <c r="I28" i="12"/>
  <c r="M11" i="12"/>
  <c r="K40" i="12"/>
  <c r="L8" i="12"/>
  <c r="L21" i="12"/>
  <c r="M14" i="12"/>
  <c r="L10" i="12"/>
  <c r="I31" i="12"/>
  <c r="M17" i="12"/>
  <c r="K8" i="12"/>
  <c r="L3" i="12"/>
  <c r="G41" i="12"/>
  <c r="I3" i="12"/>
  <c r="J17" i="12"/>
  <c r="J31" i="12"/>
  <c r="K14" i="12"/>
  <c r="J38" i="12"/>
  <c r="J14" i="12"/>
  <c r="K16" i="12"/>
  <c r="N27" i="12"/>
  <c r="N13" i="12"/>
  <c r="L11" i="12"/>
  <c r="N6" i="12"/>
  <c r="K25" i="12"/>
  <c r="K11" i="12"/>
  <c r="K31" i="12"/>
  <c r="N30" i="12"/>
  <c r="K28" i="12"/>
  <c r="J28" i="12"/>
  <c r="L16" i="12"/>
  <c r="K30" i="12"/>
  <c r="J30" i="12"/>
  <c r="L25" i="12"/>
  <c r="N20" i="12"/>
  <c r="J16" i="12"/>
  <c r="N29" i="12"/>
  <c r="L27" i="12"/>
  <c r="L20" i="12"/>
  <c r="N15" i="12"/>
  <c r="L13" i="12"/>
  <c r="L6" i="12"/>
  <c r="K17" i="12"/>
  <c r="K27" i="12"/>
  <c r="L15" i="12"/>
  <c r="K13" i="12"/>
  <c r="K4" i="1"/>
  <c r="K5" i="1"/>
  <c r="K11" i="1"/>
  <c r="K15" i="1"/>
  <c r="K16" i="1"/>
  <c r="K17" i="1"/>
  <c r="K18" i="1"/>
  <c r="K19" i="1"/>
  <c r="K24" i="1"/>
  <c r="K25" i="1"/>
  <c r="K30" i="1"/>
  <c r="K31" i="1"/>
  <c r="K32" i="1"/>
  <c r="K33" i="1"/>
  <c r="F41" i="1"/>
  <c r="D41" i="1"/>
  <c r="C41" i="1"/>
  <c r="K39" i="1"/>
  <c r="K38" i="1"/>
  <c r="K37" i="1"/>
  <c r="K35" i="1"/>
  <c r="K34" i="1"/>
  <c r="K29" i="1"/>
  <c r="K28" i="1"/>
  <c r="K27" i="1"/>
  <c r="K23" i="1"/>
  <c r="K21" i="1"/>
  <c r="K20" i="1"/>
  <c r="K14" i="1"/>
  <c r="K13" i="1"/>
  <c r="K10" i="1"/>
  <c r="K9" i="1"/>
  <c r="K6" i="1"/>
  <c r="K3" i="1"/>
  <c r="D41" i="4"/>
  <c r="C41" i="4"/>
  <c r="F41" i="4"/>
  <c r="N3" i="1"/>
  <c r="K12" i="1"/>
  <c r="K22" i="1"/>
  <c r="K8" i="1"/>
  <c r="K36" i="1"/>
  <c r="K40" i="1"/>
  <c r="K26" i="1"/>
  <c r="K41" i="14" l="1"/>
  <c r="J41" i="12"/>
  <c r="L41" i="12"/>
  <c r="M41" i="14"/>
  <c r="I41" i="14"/>
  <c r="J41" i="14"/>
  <c r="L41" i="14"/>
  <c r="N41" i="14"/>
  <c r="K41" i="13"/>
  <c r="J41" i="13"/>
  <c r="L41" i="13"/>
  <c r="N41" i="13"/>
  <c r="M41" i="13"/>
  <c r="I41" i="13"/>
  <c r="K41" i="12"/>
  <c r="M41" i="12"/>
  <c r="I41" i="12"/>
  <c r="G41" i="1"/>
  <c r="M41" i="1" s="1"/>
  <c r="K7" i="1"/>
  <c r="K41" i="1" s="1"/>
  <c r="N27" i="1" l="1"/>
  <c r="N19" i="1"/>
  <c r="N10" i="1"/>
  <c r="N22" i="1"/>
  <c r="N28" i="1"/>
  <c r="N8" i="1"/>
  <c r="N20" i="1"/>
  <c r="N4" i="1"/>
  <c r="G12" i="4"/>
  <c r="H12" i="4" s="1"/>
  <c r="J24" i="4"/>
  <c r="J19" i="4"/>
  <c r="J9" i="4"/>
  <c r="J22" i="4"/>
  <c r="J28" i="4"/>
  <c r="J20" i="4"/>
  <c r="J3" i="4"/>
  <c r="J33" i="4"/>
  <c r="J34" i="4"/>
  <c r="J4" i="4"/>
  <c r="I29" i="4"/>
  <c r="I26" i="4"/>
  <c r="I12" i="4"/>
  <c r="I27" i="4"/>
  <c r="I10" i="4"/>
  <c r="I14" i="4"/>
  <c r="I24" i="4"/>
  <c r="I19" i="4"/>
  <c r="I9" i="4"/>
  <c r="I22" i="4"/>
  <c r="I28" i="4"/>
  <c r="I5" i="4"/>
  <c r="I7" i="4"/>
  <c r="I32" i="4"/>
  <c r="I20" i="4"/>
  <c r="I33" i="4"/>
  <c r="I34" i="4"/>
  <c r="I4" i="4"/>
  <c r="G3" i="10"/>
  <c r="F3" i="10"/>
  <c r="G13" i="10"/>
  <c r="F13" i="10"/>
  <c r="G31" i="10"/>
  <c r="F31" i="10"/>
  <c r="G5" i="10"/>
  <c r="F5" i="10"/>
  <c r="G29" i="10"/>
  <c r="F29" i="10"/>
  <c r="G16" i="10"/>
  <c r="F16" i="10"/>
  <c r="G9" i="10"/>
  <c r="F9" i="10"/>
  <c r="G7" i="10"/>
  <c r="F7" i="10"/>
  <c r="G18" i="10"/>
  <c r="F18" i="10"/>
  <c r="G28" i="10"/>
  <c r="F28" i="10"/>
  <c r="G14" i="10"/>
  <c r="F14" i="10"/>
  <c r="G17" i="10"/>
  <c r="F17" i="10"/>
  <c r="G27" i="10"/>
  <c r="F27" i="10"/>
  <c r="G12" i="10"/>
  <c r="F12" i="10"/>
  <c r="G8" i="10"/>
  <c r="F8" i="10"/>
  <c r="G22" i="10"/>
  <c r="F22" i="10"/>
  <c r="G30" i="10"/>
  <c r="F30" i="10"/>
  <c r="G11" i="10"/>
  <c r="F11" i="10"/>
  <c r="G21" i="10"/>
  <c r="F21" i="10"/>
  <c r="G19" i="10"/>
  <c r="F19" i="10"/>
  <c r="G10" i="10"/>
  <c r="F10" i="10"/>
  <c r="G23" i="10"/>
  <c r="F23" i="10"/>
  <c r="G26" i="10"/>
  <c r="F26" i="10"/>
  <c r="G24" i="10"/>
  <c r="F24" i="10"/>
  <c r="G6" i="10"/>
  <c r="F6" i="10"/>
  <c r="G20" i="10"/>
  <c r="F20" i="10"/>
  <c r="G15" i="10"/>
  <c r="F15" i="10"/>
  <c r="G25" i="10"/>
  <c r="F25" i="10"/>
  <c r="G4" i="10"/>
  <c r="F4" i="10"/>
  <c r="AY41" i="3"/>
  <c r="AZ41" i="3"/>
  <c r="BA41" i="3"/>
  <c r="BB41" i="3"/>
  <c r="BC41" i="3"/>
  <c r="BD41" i="3"/>
  <c r="C41" i="3"/>
  <c r="D41" i="3"/>
  <c r="E41" i="3"/>
  <c r="F41" i="3"/>
  <c r="G41" i="3"/>
  <c r="H41" i="3"/>
  <c r="I41" i="3"/>
  <c r="J41" i="3"/>
  <c r="L41" i="3"/>
  <c r="M41" i="3"/>
  <c r="AX41" i="3"/>
  <c r="N9" i="1"/>
  <c r="N14" i="1"/>
  <c r="N24" i="1"/>
  <c r="N5" i="1"/>
  <c r="N31" i="1"/>
  <c r="N30" i="1"/>
  <c r="N25" i="1"/>
  <c r="N23" i="1"/>
  <c r="N13" i="1"/>
  <c r="N29" i="1"/>
  <c r="N26" i="1"/>
  <c r="N11" i="1"/>
  <c r="N15" i="1"/>
  <c r="N16" i="1"/>
  <c r="N17" i="1"/>
  <c r="N18" i="1"/>
  <c r="N21" i="1"/>
  <c r="N12" i="1"/>
  <c r="N6" i="1"/>
  <c r="N7" i="1"/>
  <c r="L25" i="1"/>
  <c r="L23" i="1"/>
  <c r="L13" i="1"/>
  <c r="L29" i="1"/>
  <c r="L26" i="1"/>
  <c r="L11" i="1"/>
  <c r="L27" i="1"/>
  <c r="L9" i="1"/>
  <c r="L14" i="1"/>
  <c r="L24" i="1"/>
  <c r="L19" i="1"/>
  <c r="L10" i="1"/>
  <c r="L22" i="1"/>
  <c r="L28" i="1"/>
  <c r="L15" i="1"/>
  <c r="L16" i="1"/>
  <c r="L17" i="1"/>
  <c r="L18" i="1"/>
  <c r="L21" i="1"/>
  <c r="L12" i="1"/>
  <c r="L6" i="1"/>
  <c r="L8" i="1"/>
  <c r="L20" i="1"/>
  <c r="L4" i="1"/>
  <c r="L5" i="1"/>
  <c r="L31" i="1"/>
  <c r="L30" i="1"/>
  <c r="L41" i="1"/>
  <c r="L7" i="1"/>
  <c r="J25" i="1"/>
  <c r="J23" i="1"/>
  <c r="J13" i="1"/>
  <c r="J29" i="1"/>
  <c r="J26" i="1"/>
  <c r="J11" i="1"/>
  <c r="J27" i="1"/>
  <c r="J9" i="1"/>
  <c r="J14" i="1"/>
  <c r="J24" i="1"/>
  <c r="J19" i="1"/>
  <c r="J10" i="1"/>
  <c r="J22" i="1"/>
  <c r="J28" i="1"/>
  <c r="J15" i="1"/>
  <c r="J16" i="1"/>
  <c r="J17" i="1"/>
  <c r="J18" i="1"/>
  <c r="J21" i="1"/>
  <c r="J12" i="1"/>
  <c r="J6" i="1"/>
  <c r="J8" i="1"/>
  <c r="J32" i="1"/>
  <c r="J20" i="1"/>
  <c r="J3" i="1"/>
  <c r="J33" i="1"/>
  <c r="J34" i="1"/>
  <c r="J4" i="1"/>
  <c r="J5" i="1"/>
  <c r="J35" i="1"/>
  <c r="J31" i="1"/>
  <c r="J30" i="1"/>
  <c r="J36" i="1"/>
  <c r="J37" i="1"/>
  <c r="J38" i="1"/>
  <c r="J39" i="1"/>
  <c r="J40" i="1"/>
  <c r="J41" i="1"/>
  <c r="J7" i="1"/>
  <c r="J25" i="4"/>
  <c r="J23" i="4"/>
  <c r="J13" i="4"/>
  <c r="J29" i="4"/>
  <c r="J26" i="4"/>
  <c r="J12" i="4"/>
  <c r="J27" i="4"/>
  <c r="J10" i="4"/>
  <c r="J14" i="4"/>
  <c r="J15" i="4"/>
  <c r="J16" i="4"/>
  <c r="J17" i="4"/>
  <c r="J18" i="4"/>
  <c r="J21" i="4"/>
  <c r="J11" i="4"/>
  <c r="J32" i="4"/>
  <c r="J35" i="4"/>
  <c r="J31" i="4"/>
  <c r="J30" i="4"/>
  <c r="J36" i="4"/>
  <c r="J37" i="4"/>
  <c r="J38" i="4"/>
  <c r="J39" i="4"/>
  <c r="J40" i="4"/>
  <c r="J8" i="4"/>
  <c r="I25" i="4"/>
  <c r="I23" i="4"/>
  <c r="I13" i="4"/>
  <c r="I15" i="4"/>
  <c r="I16" i="4"/>
  <c r="I17" i="4"/>
  <c r="I18" i="4"/>
  <c r="I21" i="4"/>
  <c r="I11" i="4"/>
  <c r="I6" i="4"/>
  <c r="I35" i="4"/>
  <c r="I31" i="4"/>
  <c r="I30" i="4"/>
  <c r="I36" i="4"/>
  <c r="I37" i="4"/>
  <c r="I38" i="4"/>
  <c r="I39" i="4"/>
  <c r="I40" i="4"/>
  <c r="I8" i="4"/>
  <c r="I41" i="1"/>
  <c r="I25" i="1"/>
  <c r="I23" i="1"/>
  <c r="I13" i="1"/>
  <c r="I29" i="1"/>
  <c r="I26" i="1"/>
  <c r="I11" i="1"/>
  <c r="I27" i="1"/>
  <c r="I9" i="1"/>
  <c r="I14" i="1"/>
  <c r="I24" i="1"/>
  <c r="I19" i="1"/>
  <c r="I10" i="1"/>
  <c r="I22" i="1"/>
  <c r="I28" i="1"/>
  <c r="I15" i="1"/>
  <c r="I16" i="1"/>
  <c r="I17" i="1"/>
  <c r="I18" i="1"/>
  <c r="I21" i="1"/>
  <c r="I12" i="1"/>
  <c r="I6" i="1"/>
  <c r="I8" i="1"/>
  <c r="I32" i="1"/>
  <c r="I20" i="1"/>
  <c r="I3" i="1"/>
  <c r="I33" i="1"/>
  <c r="I34" i="1"/>
  <c r="I4" i="1"/>
  <c r="I5" i="1"/>
  <c r="I35" i="1"/>
  <c r="I31" i="1"/>
  <c r="I30" i="1"/>
  <c r="I36" i="1"/>
  <c r="I37" i="1"/>
  <c r="I38" i="1"/>
  <c r="I39" i="1"/>
  <c r="I40" i="1"/>
  <c r="I7" i="1"/>
  <c r="N41" i="1" l="1"/>
  <c r="G41" i="10"/>
  <c r="F41" i="10"/>
  <c r="G25" i="4"/>
  <c r="H25" i="4" s="1"/>
  <c r="G23" i="4"/>
  <c r="H23" i="4" s="1"/>
  <c r="G13" i="4"/>
  <c r="H13" i="4" s="1"/>
  <c r="G29" i="4"/>
  <c r="H29" i="4" s="1"/>
  <c r="G26" i="4"/>
  <c r="H26" i="4" s="1"/>
  <c r="G27" i="4"/>
  <c r="H27" i="4" s="1"/>
  <c r="G10" i="4"/>
  <c r="H10" i="4" s="1"/>
  <c r="G14" i="4"/>
  <c r="H14" i="4" s="1"/>
  <c r="G24" i="4"/>
  <c r="H24" i="4" s="1"/>
  <c r="G19" i="4"/>
  <c r="H19" i="4" s="1"/>
  <c r="G9" i="4"/>
  <c r="H9" i="4" s="1"/>
  <c r="G22" i="4"/>
  <c r="H22" i="4" s="1"/>
  <c r="G28" i="4"/>
  <c r="H28" i="4" s="1"/>
  <c r="G15" i="4"/>
  <c r="H15" i="4" s="1"/>
  <c r="G16" i="4"/>
  <c r="H16" i="4" s="1"/>
  <c r="G17" i="4"/>
  <c r="H17" i="4" s="1"/>
  <c r="G18" i="4"/>
  <c r="H18" i="4" s="1"/>
  <c r="G21" i="4"/>
  <c r="H21" i="4" s="1"/>
  <c r="G11" i="4"/>
  <c r="H11" i="4" s="1"/>
  <c r="G5" i="4"/>
  <c r="H5" i="4" s="1"/>
  <c r="G7" i="4"/>
  <c r="H7" i="4" s="1"/>
  <c r="G32" i="4"/>
  <c r="G20" i="4"/>
  <c r="H20" i="4" s="1"/>
  <c r="G3" i="4"/>
  <c r="G33" i="4"/>
  <c r="G34" i="4"/>
  <c r="G4" i="4"/>
  <c r="H4" i="4" s="1"/>
  <c r="G6" i="4"/>
  <c r="H6" i="4" s="1"/>
  <c r="G35" i="4"/>
  <c r="G31" i="4"/>
  <c r="H31" i="4" s="1"/>
  <c r="G30" i="4"/>
  <c r="H30" i="4" s="1"/>
  <c r="G36" i="4"/>
  <c r="G37" i="4"/>
  <c r="G38" i="4"/>
  <c r="G39" i="4"/>
  <c r="G40" i="4"/>
  <c r="G41" i="4" l="1"/>
  <c r="H41" i="4" s="1"/>
  <c r="H8" i="4"/>
  <c r="I41" i="4"/>
  <c r="J41" i="4"/>
</calcChain>
</file>

<file path=xl/sharedStrings.xml><?xml version="1.0" encoding="utf-8"?>
<sst xmlns="http://schemas.openxmlformats.org/spreadsheetml/2006/main" count="1816" uniqueCount="163">
  <si>
    <t>Branch</t>
  </si>
  <si>
    <t>Branch/City</t>
  </si>
  <si>
    <t>Popullsia</t>
  </si>
  <si>
    <t>Pop &gt;15</t>
  </si>
  <si>
    <t>NO Business</t>
  </si>
  <si>
    <t>CA</t>
  </si>
  <si>
    <t>0001</t>
  </si>
  <si>
    <t>PRISHTINË</t>
  </si>
  <si>
    <t>1005</t>
  </si>
  <si>
    <t>PRIZREN</t>
  </si>
  <si>
    <t>1003</t>
  </si>
  <si>
    <t>FERIZAJ</t>
  </si>
  <si>
    <t>1006</t>
  </si>
  <si>
    <t>PEJË</t>
  </si>
  <si>
    <t>100104</t>
  </si>
  <si>
    <t>FUSHË KOSOVË</t>
  </si>
  <si>
    <t>1004</t>
  </si>
  <si>
    <t>GJAKOVË</t>
  </si>
  <si>
    <t>1007</t>
  </si>
  <si>
    <t>MITROVICË</t>
  </si>
  <si>
    <t>100702</t>
  </si>
  <si>
    <t>VUSHTRRI</t>
  </si>
  <si>
    <t>000103</t>
  </si>
  <si>
    <t>GLLOGOC</t>
  </si>
  <si>
    <t>1009</t>
  </si>
  <si>
    <t>PODUJEVË</t>
  </si>
  <si>
    <t>100106</t>
  </si>
  <si>
    <t>LIPJAN</t>
  </si>
  <si>
    <t>1002</t>
  </si>
  <si>
    <t>GJILAN</t>
  </si>
  <si>
    <t>100108</t>
  </si>
  <si>
    <t>GRAÇANICË</t>
  </si>
  <si>
    <t>100502</t>
  </si>
  <si>
    <t>SUHAREKË</t>
  </si>
  <si>
    <t>100503</t>
  </si>
  <si>
    <t>MALISHEVË</t>
  </si>
  <si>
    <t>100603</t>
  </si>
  <si>
    <t>ISTOG</t>
  </si>
  <si>
    <t>100701</t>
  </si>
  <si>
    <t>SKENDERAJ</t>
  </si>
  <si>
    <t>100201</t>
  </si>
  <si>
    <t>VITI</t>
  </si>
  <si>
    <t>100602</t>
  </si>
  <si>
    <t>KLINË</t>
  </si>
  <si>
    <t>100501</t>
  </si>
  <si>
    <t>RAHOVEC</t>
  </si>
  <si>
    <t>100105</t>
  </si>
  <si>
    <t>OBILIQ</t>
  </si>
  <si>
    <t>100604</t>
  </si>
  <si>
    <t>DEÇAN</t>
  </si>
  <si>
    <t>100302</t>
  </si>
  <si>
    <t>KAÇANIK</t>
  </si>
  <si>
    <t>Ska degë</t>
  </si>
  <si>
    <t>SHTIME</t>
  </si>
  <si>
    <t>100202</t>
  </si>
  <si>
    <t>KAMENICË</t>
  </si>
  <si>
    <t>100703</t>
  </si>
  <si>
    <t>MITROVICË VERIORE</t>
  </si>
  <si>
    <t>DRAGASH</t>
  </si>
  <si>
    <t>MAMUSHË</t>
  </si>
  <si>
    <t>100301</t>
  </si>
  <si>
    <t>HANI I ELEZIT</t>
  </si>
  <si>
    <t>100303</t>
  </si>
  <si>
    <t>SHTËRPCË</t>
  </si>
  <si>
    <t>KLLOKOT</t>
  </si>
  <si>
    <t>100705</t>
  </si>
  <si>
    <t>LEPOSAVIQ</t>
  </si>
  <si>
    <t>100706</t>
  </si>
  <si>
    <t>ZUBIN POTOK</t>
  </si>
  <si>
    <t>NOVOBËRDË</t>
  </si>
  <si>
    <t>JUNIK</t>
  </si>
  <si>
    <t>PARTESH</t>
  </si>
  <si>
    <t>ZVEÇAN</t>
  </si>
  <si>
    <t>RANILLUG</t>
  </si>
  <si>
    <t>Total</t>
  </si>
  <si>
    <t>TDA</t>
  </si>
  <si>
    <t>CC</t>
  </si>
  <si>
    <t>SA</t>
  </si>
  <si>
    <t>OVD</t>
  </si>
  <si>
    <t>Diff</t>
  </si>
  <si>
    <t>Active Clients</t>
  </si>
  <si>
    <t>DIFF</t>
  </si>
  <si>
    <t>Clients No</t>
  </si>
  <si>
    <t>Clients %</t>
  </si>
  <si>
    <t>2025 CA vs Population</t>
  </si>
  <si>
    <t>Active Client vs Population</t>
  </si>
  <si>
    <t>2025 TDA vs Population</t>
  </si>
  <si>
    <t>2025 vs 2026</t>
  </si>
  <si>
    <t>2025 SA vs Population</t>
  </si>
  <si>
    <t>PI</t>
  </si>
  <si>
    <t>Micro</t>
  </si>
  <si>
    <t>CIB</t>
  </si>
  <si>
    <t>Active Client</t>
  </si>
  <si>
    <t>E Click</t>
  </si>
  <si>
    <t>Active Clients 2026</t>
  </si>
  <si>
    <t>E Click %</t>
  </si>
  <si>
    <t>PI Active Clients</t>
  </si>
  <si>
    <t>2025 vs 2026 NO</t>
  </si>
  <si>
    <t>Active Clients 2025</t>
  </si>
  <si>
    <t>CA per Active Clients 2026</t>
  </si>
  <si>
    <t>CA per Active Clients 2025</t>
  </si>
  <si>
    <t>TDA per Active Clients 2025</t>
  </si>
  <si>
    <t>TDA per Active Clients 2026</t>
  </si>
  <si>
    <t>2025 Loan vs Population</t>
  </si>
  <si>
    <t>Loan per Active Clients 2025</t>
  </si>
  <si>
    <t>Loan per Active Clients 2026</t>
  </si>
  <si>
    <t>SA per Active Clients 2025</t>
  </si>
  <si>
    <t>SA per Active Clients 2026</t>
  </si>
  <si>
    <t>Sum of CA</t>
  </si>
  <si>
    <t>Sum of SAV</t>
  </si>
  <si>
    <t>Sum of TDA</t>
  </si>
  <si>
    <t>Sum of debit_card</t>
  </si>
  <si>
    <t>Sum of E_Banking</t>
  </si>
  <si>
    <t>Sum of M_Banking</t>
  </si>
  <si>
    <t>Mortgage Loans</t>
  </si>
  <si>
    <t>Consumer Loans</t>
  </si>
  <si>
    <t>Debit Cards</t>
  </si>
  <si>
    <t>E Banking</t>
  </si>
  <si>
    <t>M Banking</t>
  </si>
  <si>
    <t>Sum of Short_term</t>
  </si>
  <si>
    <t>Sum of Long_term</t>
  </si>
  <si>
    <t xml:space="preserve">Active Clients </t>
  </si>
  <si>
    <t>Short Term Loans</t>
  </si>
  <si>
    <t>Long Term Loans</t>
  </si>
  <si>
    <t>Business CIB + Micro</t>
  </si>
  <si>
    <t>Active Clients PI</t>
  </si>
  <si>
    <t>2025 PI</t>
  </si>
  <si>
    <t>% 2025 vs 2026</t>
  </si>
  <si>
    <t># 2025 vs 2026</t>
  </si>
  <si>
    <t>2025 Micro</t>
  </si>
  <si>
    <t>Count of id</t>
  </si>
  <si>
    <t>Sum of credit_card_pca</t>
  </si>
  <si>
    <t>Sum of Overdraft</t>
  </si>
  <si>
    <t>Sum of POS</t>
  </si>
  <si>
    <t>M click %</t>
  </si>
  <si>
    <t>M click</t>
  </si>
  <si>
    <t>2025 CIB</t>
  </si>
  <si>
    <t>2025 Business Micro+Cib</t>
  </si>
  <si>
    <t>Active Business</t>
  </si>
  <si>
    <t>POS</t>
  </si>
  <si>
    <t>2026 Business CIB + Micro</t>
  </si>
  <si>
    <t>Active Business/No. Business</t>
  </si>
  <si>
    <t>CA per Active Business 2025</t>
  </si>
  <si>
    <t>2026 Business vs Total Active Business</t>
  </si>
  <si>
    <t>TDA per Active Business 2025</t>
  </si>
  <si>
    <t>Differences</t>
  </si>
  <si>
    <t>CC per Active Clients 2026</t>
  </si>
  <si>
    <t>CC per Active Business 2025</t>
  </si>
  <si>
    <t>Long Term per Active Business 2025</t>
  </si>
  <si>
    <t>Long Term per Active Clients 2026</t>
  </si>
  <si>
    <t>Short Term per Active Business 2025</t>
  </si>
  <si>
    <t>Short Term per Active Clients 2026</t>
  </si>
  <si>
    <t>OVD per Active Business 2025</t>
  </si>
  <si>
    <t>OVD per Active Clients 2026</t>
  </si>
  <si>
    <t>Business</t>
  </si>
  <si>
    <t>2026 Active Client</t>
  </si>
  <si>
    <t>Short_term</t>
  </si>
  <si>
    <t>Long_term</t>
  </si>
  <si>
    <t>credit_card</t>
  </si>
  <si>
    <t>Overdraft</t>
  </si>
  <si>
    <t>debit_card</t>
  </si>
  <si>
    <t>M_Banking</t>
  </si>
  <si>
    <t>E_Banking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</si>
</sst>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b/>
      <sz val="12"/>
      <color theme="1" tint="0.1499984740745262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101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/>
    <xf numFmtId="164" fontId="5" fillId="4" borderId="0" xfId="1" applyNumberFormat="1" applyFont="1" applyFill="1" applyBorder="1"/>
    <xf numFmtId="164" fontId="5" fillId="5" borderId="0" xfId="1" applyNumberFormat="1" applyFont="1" applyFill="1" applyBorder="1"/>
    <xf numFmtId="164" fontId="6" fillId="5" borderId="0" xfId="1" applyNumberFormat="1" applyFont="1" applyFill="1"/>
    <xf numFmtId="0" fontId="2" fillId="0" borderId="0" xfId="0" applyFont="1"/>
    <xf numFmtId="9" fontId="7" fillId="0" borderId="0" xfId="3" applyNumberFormat="1"/>
    <xf numFmtId="0" fontId="4" fillId="3" borderId="0" xfId="0" applyFont="1" applyFill="1" applyAlignment="1">
      <alignment horizontal="center" vertical="center"/>
    </xf>
    <xf numFmtId="0" fontId="2" fillId="6" borderId="0" xfId="0" applyFont="1" applyFill="1"/>
    <xf numFmtId="0" fontId="3" fillId="6" borderId="0" xfId="0" applyFont="1" applyFill="1"/>
    <xf numFmtId="9" fontId="2" fillId="0" borderId="0" xfId="2" applyFont="1"/>
    <xf numFmtId="9" fontId="7" fillId="0" borderId="0" xfId="2" applyFont="1"/>
    <xf numFmtId="165" fontId="5" fillId="5" borderId="0" xfId="2" applyNumberFormat="1" applyFont="1" applyFill="1" applyBorder="1"/>
    <xf numFmtId="165" fontId="4" fillId="3" borderId="0" xfId="2" applyNumberFormat="1" applyFont="1" applyFill="1"/>
    <xf numFmtId="165" fontId="7" fillId="0" borderId="0" xfId="2" applyNumberFormat="1" applyFont="1"/>
    <xf numFmtId="165" fontId="2" fillId="0" borderId="0" xfId="2" applyNumberFormat="1" applyFont="1"/>
    <xf numFmtId="43" fontId="5" fillId="5" borderId="0" xfId="1" applyFont="1" applyFill="1" applyBorder="1"/>
    <xf numFmtId="164" fontId="5" fillId="5" borderId="0" xfId="1" applyNumberFormat="1" applyFont="1" applyFill="1"/>
    <xf numFmtId="164" fontId="5" fillId="4" borderId="0" xfId="1" applyNumberFormat="1" applyFont="1" applyFill="1"/>
    <xf numFmtId="164" fontId="6" fillId="7" borderId="0" xfId="1" applyNumberFormat="1" applyFont="1" applyFill="1" applyBorder="1"/>
    <xf numFmtId="164" fontId="6" fillId="7" borderId="0" xfId="1" applyNumberFormat="1" applyFont="1" applyFill="1"/>
    <xf numFmtId="43" fontId="5" fillId="5" borderId="0" xfId="1" applyFont="1" applyFill="1"/>
    <xf numFmtId="165" fontId="5" fillId="4" borderId="0" xfId="2" applyNumberFormat="1" applyFont="1" applyFill="1" applyBorder="1"/>
    <xf numFmtId="9" fontId="6" fillId="7" borderId="0" xfId="2" applyFont="1" applyFill="1" applyBorder="1"/>
    <xf numFmtId="9" fontId="6" fillId="7" borderId="0" xfId="2" applyFont="1" applyFill="1"/>
    <xf numFmtId="164" fontId="6" fillId="7" borderId="0" xfId="1" applyNumberFormat="1" applyFont="1" applyFill="1" applyAlignment="1">
      <alignment horizontal="center" vertical="center"/>
    </xf>
    <xf numFmtId="9" fontId="5" fillId="7" borderId="0" xfId="2" applyFont="1" applyFill="1" applyBorder="1"/>
    <xf numFmtId="0" fontId="4" fillId="0" borderId="0" xfId="0" applyFont="1"/>
    <xf numFmtId="164" fontId="5" fillId="0" borderId="0" xfId="1" applyNumberFormat="1" applyFont="1" applyFill="1" applyBorder="1"/>
    <xf numFmtId="164" fontId="6" fillId="0" borderId="0" xfId="1" applyNumberFormat="1" applyFont="1" applyFill="1"/>
    <xf numFmtId="43" fontId="5" fillId="4" borderId="0" xfId="1" applyFont="1" applyFill="1" applyBorder="1"/>
    <xf numFmtId="165" fontId="5" fillId="7" borderId="0" xfId="2" applyNumberFormat="1" applyFont="1" applyFill="1" applyBorder="1"/>
    <xf numFmtId="43" fontId="5" fillId="7" borderId="0" xfId="1" applyFont="1" applyFill="1" applyBorder="1"/>
    <xf numFmtId="43" fontId="5" fillId="4" borderId="0" xfId="1" applyFont="1" applyFill="1"/>
    <xf numFmtId="165" fontId="5" fillId="5" borderId="0" xfId="2" applyNumberFormat="1" applyFont="1" applyFill="1"/>
    <xf numFmtId="165" fontId="5" fillId="4" borderId="0" xfId="2" applyNumberFormat="1" applyFont="1" applyFill="1"/>
    <xf numFmtId="165" fontId="6" fillId="7" borderId="0" xfId="2" applyNumberFormat="1" applyFont="1" applyFill="1"/>
    <xf numFmtId="43" fontId="5" fillId="7" borderId="0" xfId="1" applyFont="1" applyFill="1"/>
    <xf numFmtId="164" fontId="3" fillId="2" borderId="0" xfId="1" applyNumberFormat="1" applyFont="1" applyFill="1" applyAlignment="1"/>
    <xf numFmtId="164" fontId="4" fillId="3" borderId="0" xfId="1" applyNumberFormat="1" applyFont="1" applyFill="1" applyAlignment="1">
      <alignment horizontal="center" vertical="center"/>
    </xf>
    <xf numFmtId="164" fontId="2" fillId="0" borderId="0" xfId="1" applyNumberFormat="1" applyFont="1"/>
    <xf numFmtId="164" fontId="7" fillId="0" borderId="0" xfId="1" applyNumberFormat="1" applyFont="1"/>
    <xf numFmtId="164" fontId="3" fillId="2" borderId="0" xfId="1" applyNumberFormat="1" applyFont="1" applyFill="1"/>
    <xf numFmtId="165" fontId="5" fillId="7" borderId="0" xfId="2" applyNumberFormat="1" applyFont="1" applyFill="1"/>
    <xf numFmtId="9" fontId="5" fillId="7" borderId="0" xfId="2" applyFont="1" applyFill="1"/>
    <xf numFmtId="43" fontId="5" fillId="8" borderId="0" xfId="1" applyFont="1" applyFill="1"/>
    <xf numFmtId="9" fontId="3" fillId="2" borderId="0" xfId="2" applyFont="1" applyFill="1"/>
    <xf numFmtId="9" fontId="4" fillId="3" borderId="0" xfId="2" applyFont="1" applyFill="1" applyAlignment="1">
      <alignment horizontal="center" vertical="center"/>
    </xf>
    <xf numFmtId="9" fontId="5" fillId="5" borderId="0" xfId="2" applyFont="1" applyFill="1"/>
    <xf numFmtId="9" fontId="5" fillId="4" borderId="0" xfId="2" applyFont="1" applyFill="1"/>
    <xf numFmtId="0" fontId="8" fillId="9" borderId="1" xfId="0" applyFont="1" applyFill="1" applyBorder="1"/>
    <xf numFmtId="164" fontId="0" fillId="0" borderId="0" xfId="0" applyNumberFormat="1"/>
    <xf numFmtId="0" fontId="4" fillId="10" borderId="0" xfId="0" applyFont="1" applyFill="1"/>
    <xf numFmtId="0" fontId="4" fillId="10" borderId="0" xfId="0" applyFont="1" applyFill="1" applyAlignment="1">
      <alignment horizontal="center"/>
    </xf>
    <xf numFmtId="0" fontId="2" fillId="10" borderId="0" xfId="0" applyFont="1" applyFill="1"/>
    <xf numFmtId="0" fontId="4" fillId="10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2" borderId="0" xfId="0" applyFont="1" applyFill="1"/>
    <xf numFmtId="0" fontId="3" fillId="3" borderId="0" xfId="0" applyFont="1" applyFill="1"/>
    <xf numFmtId="3" fontId="2" fillId="0" borderId="0" xfId="0" applyNumberFormat="1" applyFont="1"/>
    <xf numFmtId="164" fontId="2" fillId="0" borderId="0" xfId="0" applyNumberFormat="1" applyFont="1"/>
    <xf numFmtId="165" fontId="4" fillId="3" borderId="0" xfId="2" applyNumberFormat="1" applyFont="1" applyFill="1" applyAlignment="1">
      <alignment horizontal="center" vertical="center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164" fontId="4" fillId="2" borderId="0" xfId="1" applyNumberFormat="1" applyFont="1" applyFill="1"/>
    <xf numFmtId="165" fontId="4" fillId="2" borderId="0" xfId="2" applyNumberFormat="1" applyFont="1" applyFill="1"/>
    <xf numFmtId="43" fontId="6" fillId="7" borderId="0" xfId="1" applyFont="1" applyFill="1"/>
    <xf numFmtId="165" fontId="0" fillId="0" borderId="0" xfId="2" applyNumberFormat="1" applyFont="1"/>
    <xf numFmtId="9" fontId="4" fillId="6" borderId="0" xfId="2" applyFont="1" applyFill="1"/>
    <xf numFmtId="9" fontId="4" fillId="3" borderId="0" xfId="2" applyFont="1" applyFill="1"/>
    <xf numFmtId="10" fontId="6" fillId="7" borderId="0" xfId="2" applyNumberFormat="1" applyFont="1" applyFill="1"/>
    <xf numFmtId="165" fontId="4" fillId="6" borderId="0" xfId="2" applyNumberFormat="1" applyFont="1" applyFill="1"/>
    <xf numFmtId="9" fontId="5" fillId="8" borderId="0" xfId="2" applyFont="1" applyFill="1"/>
    <xf numFmtId="10" fontId="5" fillId="5" borderId="0" xfId="2" applyNumberFormat="1" applyFont="1" applyFill="1"/>
    <xf numFmtId="10" fontId="5" fillId="4" borderId="0" xfId="2" applyNumberFormat="1" applyFont="1" applyFill="1"/>
    <xf numFmtId="10" fontId="5" fillId="8" borderId="0" xfId="2" applyNumberFormat="1" applyFont="1" applyFill="1"/>
    <xf numFmtId="10" fontId="4" fillId="2" borderId="0" xfId="2" applyNumberFormat="1" applyFont="1" applyFill="1"/>
    <xf numFmtId="10" fontId="4" fillId="3" borderId="0" xfId="2" applyNumberFormat="1" applyFont="1" applyFill="1" applyAlignment="1">
      <alignment horizontal="center" vertical="center"/>
    </xf>
    <xf numFmtId="10" fontId="2" fillId="0" borderId="0" xfId="2" applyNumberFormat="1" applyFont="1"/>
    <xf numFmtId="10" fontId="7" fillId="0" borderId="0" xfId="2" applyNumberFormat="1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164" fontId="6" fillId="11" borderId="0" xfId="1" applyNumberFormat="1" applyFont="1" applyFill="1"/>
    <xf numFmtId="43" fontId="2" fillId="0" borderId="0" xfId="0" applyNumberFormat="1" applyFont="1"/>
    <xf numFmtId="9" fontId="5" fillId="5" borderId="0" xfId="1" applyNumberFormat="1" applyFont="1" applyFill="1"/>
    <xf numFmtId="9" fontId="5" fillId="4" borderId="0" xfId="1" applyNumberFormat="1" applyFont="1" applyFill="1"/>
    <xf numFmtId="9" fontId="6" fillId="7" borderId="0" xfId="1" applyNumberFormat="1" applyFont="1" applyFill="1"/>
    <xf numFmtId="9" fontId="4" fillId="3" borderId="0" xfId="0" applyNumberFormat="1" applyFont="1" applyFill="1" applyAlignment="1">
      <alignment horizontal="center" vertical="center"/>
    </xf>
    <xf numFmtId="9" fontId="0" fillId="0" borderId="0" xfId="0" applyNumberFormat="1"/>
    <xf numFmtId="165" fontId="4" fillId="3" borderId="0" xfId="0" applyNumberFormat="1" applyFont="1" applyFill="1" applyAlignment="1">
      <alignment horizontal="center" vertical="center"/>
    </xf>
    <xf numFmtId="165" fontId="5" fillId="5" borderId="0" xfId="1" applyNumberFormat="1" applyFont="1" applyFill="1"/>
    <xf numFmtId="165" fontId="5" fillId="4" borderId="0" xfId="1" applyNumberFormat="1" applyFont="1" applyFill="1"/>
    <xf numFmtId="165" fontId="6" fillId="7" borderId="0" xfId="1" applyNumberFormat="1" applyFont="1" applyFill="1"/>
    <xf numFmtId="165" fontId="0" fillId="0" borderId="0" xfId="0" applyNumberFormat="1"/>
    <xf numFmtId="0" fontId="4" fillId="10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 2" xfId="3" xr:uid="{5A06DFEA-41DD-451D-8B7C-641A7BF1E78C}"/>
    <cellStyle name="Percent" xfId="2" builtinId="5"/>
  </cellStyles>
  <dxfs count="1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44DB-53EA-4F06-92D4-00BF69FA8E2E}">
  <dimension ref="A1:CR52"/>
  <sheetViews>
    <sheetView showGridLines="0" tabSelected="1" zoomScale="85" zoomScaleNormal="85" workbookViewId="0">
      <pane xSplit="2" ySplit="2" topLeftCell="C3" activePane="bottomRight" state="frozen"/>
      <selection activeCell="K18" sqref="K18"/>
      <selection pane="topRight" activeCell="K18" sqref="K18"/>
      <selection pane="bottomLeft" activeCell="K18" sqref="K18"/>
      <selection pane="bottomRight" activeCell="AW3" sqref="AW3"/>
    </sheetView>
  </sheetViews>
  <sheetFormatPr defaultColWidth="8.7109375" defaultRowHeight="15" x14ac:dyDescent="0.25"/>
  <cols>
    <col min="1" max="2" width="19.28515625" style="7" customWidth="1"/>
    <col min="3" max="3" width="11.5703125" style="7" bestFit="1" customWidth="1"/>
    <col min="4" max="4" width="11.5703125" style="7" customWidth="1"/>
    <col min="5" max="5" width="14.42578125" style="7" bestFit="1" customWidth="1"/>
    <col min="6" max="6" width="15.5703125" style="7" bestFit="1" customWidth="1"/>
    <col min="7" max="7" width="10.28515625" style="7" bestFit="1" customWidth="1"/>
    <col min="8" max="8" width="15.42578125" style="7" customWidth="1"/>
    <col min="9" max="9" width="15.140625" style="7" bestFit="1" customWidth="1"/>
    <col min="10" max="10" width="17.5703125" style="7" bestFit="1" customWidth="1"/>
    <col min="11" max="11" width="18.85546875" style="7" bestFit="1" customWidth="1"/>
    <col min="12" max="13" width="15.140625" style="7" bestFit="1" customWidth="1"/>
    <col min="14" max="49" width="15.140625" style="7" customWidth="1"/>
    <col min="50" max="50" width="26.28515625" style="7" bestFit="1" customWidth="1"/>
    <col min="51" max="53" width="15.140625" style="7" bestFit="1" customWidth="1"/>
    <col min="54" max="54" width="17.5703125" style="7" bestFit="1" customWidth="1"/>
    <col min="55" max="55" width="18.85546875" style="7" bestFit="1" customWidth="1"/>
    <col min="56" max="64" width="15.140625" style="7" bestFit="1" customWidth="1"/>
    <col min="65" max="65" width="20.85546875" style="7" bestFit="1" customWidth="1"/>
    <col min="66" max="66" width="20.28515625" style="7" bestFit="1" customWidth="1"/>
    <col min="67" max="70" width="15.140625" style="7" bestFit="1" customWidth="1"/>
    <col min="71" max="71" width="11.28515625" style="7" bestFit="1" customWidth="1"/>
    <col min="72" max="72" width="11.28515625" style="7" customWidth="1"/>
    <col min="73" max="76" width="15.140625" style="7" bestFit="1" customWidth="1"/>
    <col min="77" max="77" width="20.85546875" style="7" bestFit="1" customWidth="1"/>
    <col min="78" max="78" width="20.28515625" style="7" bestFit="1" customWidth="1"/>
    <col min="79" max="83" width="15.140625" style="7" bestFit="1" customWidth="1"/>
    <col min="84" max="84" width="15.140625" style="7" customWidth="1"/>
    <col min="85" max="85" width="17.7109375" bestFit="1" customWidth="1"/>
    <col min="86" max="86" width="8.5703125" bestFit="1" customWidth="1"/>
    <col min="87" max="87" width="7.42578125" customWidth="1"/>
    <col min="88" max="88" width="5.7109375" bestFit="1" customWidth="1"/>
    <col min="89" max="89" width="19.42578125" bestFit="1" customWidth="1"/>
    <col min="90" max="90" width="18.7109375" bestFit="1" customWidth="1"/>
    <col min="91" max="91" width="5.28515625" bestFit="1" customWidth="1"/>
    <col min="92" max="92" width="13.5703125" bestFit="1" customWidth="1"/>
    <col min="93" max="93" width="5.85546875" bestFit="1" customWidth="1"/>
    <col min="94" max="94" width="11.85546875" bestFit="1" customWidth="1"/>
    <col min="95" max="96" width="11.5703125" customWidth="1"/>
  </cols>
  <sheetData>
    <row r="1" spans="1:96" ht="18.75" x14ac:dyDescent="0.3">
      <c r="A1" s="56"/>
      <c r="B1" s="56"/>
      <c r="C1" s="54"/>
      <c r="D1" s="54"/>
      <c r="E1" s="54"/>
      <c r="F1" s="55" t="s">
        <v>126</v>
      </c>
      <c r="G1" s="55"/>
      <c r="H1" s="54"/>
      <c r="I1" s="54"/>
      <c r="J1" s="54"/>
      <c r="K1" s="54"/>
      <c r="L1" s="54"/>
      <c r="M1" s="54"/>
      <c r="N1" s="55" t="s">
        <v>129</v>
      </c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 t="s">
        <v>136</v>
      </c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 t="s">
        <v>137</v>
      </c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4">
        <v>2026</v>
      </c>
      <c r="AY1" s="54" t="s">
        <v>89</v>
      </c>
      <c r="AZ1" s="54"/>
      <c r="BA1" s="54"/>
      <c r="BB1" s="54"/>
      <c r="BC1" s="54"/>
      <c r="BD1" s="54"/>
      <c r="BE1" s="54"/>
      <c r="BF1" s="54"/>
      <c r="BG1" s="54"/>
      <c r="BH1" s="54"/>
      <c r="BI1" s="59" t="s">
        <v>90</v>
      </c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3" t="s">
        <v>91</v>
      </c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2" t="s">
        <v>124</v>
      </c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</row>
    <row r="2" spans="1:96" ht="18.75" x14ac:dyDescent="0.3">
      <c r="A2" s="54" t="s">
        <v>0</v>
      </c>
      <c r="B2" s="54" t="s">
        <v>1</v>
      </c>
      <c r="C2" s="54" t="s">
        <v>2</v>
      </c>
      <c r="D2" s="54" t="s">
        <v>3</v>
      </c>
      <c r="E2" s="54" t="s">
        <v>4</v>
      </c>
      <c r="F2" s="54" t="s">
        <v>125</v>
      </c>
      <c r="G2" s="57" t="s">
        <v>5</v>
      </c>
      <c r="H2" s="57" t="s">
        <v>77</v>
      </c>
      <c r="I2" s="57" t="s">
        <v>75</v>
      </c>
      <c r="J2" s="57" t="s">
        <v>114</v>
      </c>
      <c r="K2" s="57" t="s">
        <v>115</v>
      </c>
      <c r="L2" s="57" t="s">
        <v>76</v>
      </c>
      <c r="M2" s="57" t="s">
        <v>78</v>
      </c>
      <c r="N2" s="52" t="s">
        <v>130</v>
      </c>
      <c r="O2" s="52" t="s">
        <v>108</v>
      </c>
      <c r="P2" s="52" t="s">
        <v>109</v>
      </c>
      <c r="Q2" s="52" t="s">
        <v>110</v>
      </c>
      <c r="R2" s="52" t="s">
        <v>119</v>
      </c>
      <c r="S2" s="52" t="s">
        <v>120</v>
      </c>
      <c r="T2" s="52" t="s">
        <v>131</v>
      </c>
      <c r="U2" s="52" t="s">
        <v>132</v>
      </c>
      <c r="V2" s="52" t="s">
        <v>111</v>
      </c>
      <c r="W2" s="52" t="s">
        <v>113</v>
      </c>
      <c r="X2" s="52" t="s">
        <v>112</v>
      </c>
      <c r="Y2" s="52" t="s">
        <v>133</v>
      </c>
      <c r="Z2" s="54" t="s">
        <v>130</v>
      </c>
      <c r="AA2" s="54" t="s">
        <v>108</v>
      </c>
      <c r="AB2" s="54" t="s">
        <v>109</v>
      </c>
      <c r="AC2" s="54" t="s">
        <v>110</v>
      </c>
      <c r="AD2" s="54" t="s">
        <v>119</v>
      </c>
      <c r="AE2" s="54" t="s">
        <v>120</v>
      </c>
      <c r="AF2" s="54" t="s">
        <v>131</v>
      </c>
      <c r="AG2" s="54" t="s">
        <v>132</v>
      </c>
      <c r="AH2" s="54" t="s">
        <v>111</v>
      </c>
      <c r="AI2" s="54" t="s">
        <v>113</v>
      </c>
      <c r="AJ2" s="54" t="s">
        <v>112</v>
      </c>
      <c r="AK2" s="54" t="s">
        <v>133</v>
      </c>
      <c r="AL2" s="54" t="s">
        <v>130</v>
      </c>
      <c r="AM2" s="54" t="s">
        <v>108</v>
      </c>
      <c r="AN2" s="54" t="s">
        <v>77</v>
      </c>
      <c r="AO2" s="54" t="s">
        <v>75</v>
      </c>
      <c r="AP2" s="54" t="s">
        <v>156</v>
      </c>
      <c r="AQ2" s="54" t="s">
        <v>157</v>
      </c>
      <c r="AR2" s="54" t="s">
        <v>158</v>
      </c>
      <c r="AS2" s="54" t="s">
        <v>159</v>
      </c>
      <c r="AT2" s="54" t="s">
        <v>160</v>
      </c>
      <c r="AU2" s="54" t="s">
        <v>161</v>
      </c>
      <c r="AV2" s="54" t="s">
        <v>162</v>
      </c>
      <c r="AW2" s="54" t="s">
        <v>139</v>
      </c>
      <c r="AX2" s="54" t="s">
        <v>96</v>
      </c>
      <c r="AY2" s="57" t="s">
        <v>5</v>
      </c>
      <c r="AZ2" s="57" t="s">
        <v>77</v>
      </c>
      <c r="BA2" s="57" t="s">
        <v>75</v>
      </c>
      <c r="BB2" s="57" t="s">
        <v>114</v>
      </c>
      <c r="BC2" s="57" t="s">
        <v>115</v>
      </c>
      <c r="BD2" s="57" t="s">
        <v>76</v>
      </c>
      <c r="BE2" s="57" t="s">
        <v>78</v>
      </c>
      <c r="BF2" s="57" t="s">
        <v>116</v>
      </c>
      <c r="BG2" s="57" t="s">
        <v>118</v>
      </c>
      <c r="BH2" s="57" t="s">
        <v>117</v>
      </c>
      <c r="BI2" s="58" t="s">
        <v>121</v>
      </c>
      <c r="BJ2" s="58" t="s">
        <v>5</v>
      </c>
      <c r="BK2" s="58" t="s">
        <v>77</v>
      </c>
      <c r="BL2" s="58" t="s">
        <v>75</v>
      </c>
      <c r="BM2" s="58" t="s">
        <v>122</v>
      </c>
      <c r="BN2" s="58" t="s">
        <v>123</v>
      </c>
      <c r="BO2" s="58" t="s">
        <v>76</v>
      </c>
      <c r="BP2" s="58" t="s">
        <v>116</v>
      </c>
      <c r="BQ2" s="58" t="s">
        <v>78</v>
      </c>
      <c r="BR2" s="58" t="s">
        <v>118</v>
      </c>
      <c r="BS2" s="58" t="s">
        <v>117</v>
      </c>
      <c r="BT2" s="58" t="s">
        <v>139</v>
      </c>
      <c r="BU2" s="9" t="s">
        <v>121</v>
      </c>
      <c r="BV2" s="9" t="s">
        <v>5</v>
      </c>
      <c r="BW2" s="9" t="s">
        <v>77</v>
      </c>
      <c r="BX2" s="9" t="s">
        <v>75</v>
      </c>
      <c r="BY2" s="9" t="s">
        <v>122</v>
      </c>
      <c r="BZ2" s="9" t="s">
        <v>123</v>
      </c>
      <c r="CA2" s="9" t="s">
        <v>76</v>
      </c>
      <c r="CB2" s="9" t="s">
        <v>116</v>
      </c>
      <c r="CC2" s="9" t="s">
        <v>78</v>
      </c>
      <c r="CD2" s="9" t="s">
        <v>118</v>
      </c>
      <c r="CE2" s="9" t="s">
        <v>117</v>
      </c>
      <c r="CF2" s="9" t="s">
        <v>139</v>
      </c>
      <c r="CG2" s="9" t="s">
        <v>121</v>
      </c>
      <c r="CH2" s="9" t="s">
        <v>5</v>
      </c>
      <c r="CI2" s="9" t="s">
        <v>77</v>
      </c>
      <c r="CJ2" s="9" t="s">
        <v>75</v>
      </c>
      <c r="CK2" s="9" t="s">
        <v>122</v>
      </c>
      <c r="CL2" s="9" t="s">
        <v>123</v>
      </c>
      <c r="CM2" s="9" t="s">
        <v>76</v>
      </c>
      <c r="CN2" s="9" t="s">
        <v>116</v>
      </c>
      <c r="CO2" s="9" t="s">
        <v>78</v>
      </c>
      <c r="CP2" s="9" t="s">
        <v>118</v>
      </c>
      <c r="CQ2" s="9" t="s">
        <v>117</v>
      </c>
      <c r="CR2" s="9" t="s">
        <v>139</v>
      </c>
    </row>
    <row r="3" spans="1:96" x14ac:dyDescent="0.25">
      <c r="A3" s="4" t="s">
        <v>6</v>
      </c>
      <c r="B3" s="4" t="s">
        <v>7</v>
      </c>
      <c r="C3" s="4">
        <v>227466</v>
      </c>
      <c r="D3" s="4">
        <v>177302</v>
      </c>
      <c r="E3" s="4">
        <v>21396</v>
      </c>
      <c r="F3" s="4">
        <v>45420</v>
      </c>
      <c r="G3" s="4">
        <v>48925</v>
      </c>
      <c r="H3" s="4">
        <v>4854</v>
      </c>
      <c r="I3" s="4">
        <v>4391</v>
      </c>
      <c r="J3" s="4">
        <v>3305</v>
      </c>
      <c r="K3" s="4">
        <v>6327</v>
      </c>
      <c r="L3" s="4">
        <v>7209</v>
      </c>
      <c r="M3" s="4">
        <v>3597</v>
      </c>
      <c r="N3" s="4">
        <v>3524</v>
      </c>
      <c r="O3" s="4">
        <v>3825</v>
      </c>
      <c r="P3" s="4">
        <v>0</v>
      </c>
      <c r="Q3" s="4">
        <v>7</v>
      </c>
      <c r="R3" s="4">
        <v>38</v>
      </c>
      <c r="S3" s="4">
        <v>554</v>
      </c>
      <c r="T3" s="4">
        <v>117</v>
      </c>
      <c r="U3" s="4">
        <v>119</v>
      </c>
      <c r="V3" s="4">
        <v>0</v>
      </c>
      <c r="W3" s="4"/>
      <c r="X3" s="4"/>
      <c r="Y3" s="4">
        <v>540</v>
      </c>
      <c r="Z3" s="4">
        <v>644</v>
      </c>
      <c r="AA3" s="4">
        <v>85</v>
      </c>
      <c r="AB3" s="4">
        <v>0</v>
      </c>
      <c r="AC3" s="4">
        <v>63</v>
      </c>
      <c r="AD3" s="4">
        <v>16</v>
      </c>
      <c r="AE3" s="4">
        <v>25</v>
      </c>
      <c r="AF3" s="4">
        <v>11</v>
      </c>
      <c r="AG3" s="4">
        <v>15</v>
      </c>
      <c r="AH3" s="4">
        <v>0</v>
      </c>
      <c r="AI3" s="4">
        <v>0</v>
      </c>
      <c r="AJ3" s="4">
        <v>0</v>
      </c>
      <c r="AK3" s="4">
        <v>148</v>
      </c>
      <c r="AL3" s="20">
        <f t="shared" ref="AL3:AL40" si="0">Z3+N3</f>
        <v>4168</v>
      </c>
      <c r="AM3" s="20">
        <f t="shared" ref="AM3:AM40" si="1">AA3+O3</f>
        <v>3910</v>
      </c>
      <c r="AN3" s="20">
        <f t="shared" ref="AN3:AN40" si="2">AB3+P3</f>
        <v>0</v>
      </c>
      <c r="AO3" s="20">
        <f t="shared" ref="AO3:AO40" si="3">AC3+Q3</f>
        <v>70</v>
      </c>
      <c r="AP3" s="20">
        <f t="shared" ref="AP3:AP40" si="4">AD3+R3</f>
        <v>54</v>
      </c>
      <c r="AQ3" s="20">
        <f t="shared" ref="AQ3:AQ40" si="5">AE3+S3</f>
        <v>579</v>
      </c>
      <c r="AR3" s="20">
        <f t="shared" ref="AR3:AR40" si="6">AF3+T3</f>
        <v>128</v>
      </c>
      <c r="AS3" s="20">
        <f t="shared" ref="AS3:AS40" si="7">AG3+U3</f>
        <v>134</v>
      </c>
      <c r="AT3" s="20">
        <f t="shared" ref="AT3:AT40" si="8">AH3+V3</f>
        <v>0</v>
      </c>
      <c r="AU3" s="20">
        <f t="shared" ref="AU3:AU40" si="9">AI3+W3</f>
        <v>0</v>
      </c>
      <c r="AV3" s="20">
        <f t="shared" ref="AV3:AV40" si="10">AJ3+X3</f>
        <v>0</v>
      </c>
      <c r="AW3" s="20">
        <f t="shared" ref="AW3:AW40" si="11">AK3+Y3</f>
        <v>688</v>
      </c>
      <c r="AX3" s="4">
        <v>47635</v>
      </c>
      <c r="AY3" s="4">
        <v>52720</v>
      </c>
      <c r="AZ3" s="4">
        <v>9546</v>
      </c>
      <c r="BA3" s="4">
        <v>2444</v>
      </c>
      <c r="BB3" s="4">
        <v>3386</v>
      </c>
      <c r="BC3" s="4">
        <v>7665</v>
      </c>
      <c r="BD3" s="4">
        <v>7458</v>
      </c>
      <c r="BE3" s="4">
        <v>3781</v>
      </c>
      <c r="BF3" s="4">
        <v>53048</v>
      </c>
      <c r="BG3" s="4">
        <v>29710</v>
      </c>
      <c r="BH3" s="4">
        <v>5370</v>
      </c>
      <c r="BI3" s="4">
        <v>3560</v>
      </c>
      <c r="BJ3" s="4">
        <v>4081</v>
      </c>
      <c r="BK3" s="4">
        <v>1</v>
      </c>
      <c r="BL3" s="4">
        <v>14</v>
      </c>
      <c r="BM3" s="4">
        <v>32</v>
      </c>
      <c r="BN3" s="4">
        <v>507</v>
      </c>
      <c r="BO3" s="4">
        <v>124</v>
      </c>
      <c r="BP3" s="4">
        <v>3835</v>
      </c>
      <c r="BQ3" s="4">
        <v>122</v>
      </c>
      <c r="BR3" s="4">
        <v>2938</v>
      </c>
      <c r="BS3" s="4">
        <v>2381</v>
      </c>
      <c r="BT3" s="20">
        <v>783</v>
      </c>
      <c r="BU3" s="4">
        <v>656</v>
      </c>
      <c r="BV3" s="4">
        <v>1187</v>
      </c>
      <c r="BW3" s="4">
        <v>4</v>
      </c>
      <c r="BX3" s="4">
        <v>83</v>
      </c>
      <c r="BY3" s="4">
        <v>131</v>
      </c>
      <c r="BZ3" s="4">
        <v>325</v>
      </c>
      <c r="CA3" s="4">
        <v>188</v>
      </c>
      <c r="CB3" s="4">
        <v>702</v>
      </c>
      <c r="CC3" s="4">
        <v>123</v>
      </c>
      <c r="CD3" s="4">
        <v>409</v>
      </c>
      <c r="CE3" s="4">
        <v>577</v>
      </c>
      <c r="CF3" s="4">
        <v>922</v>
      </c>
      <c r="CG3" s="53">
        <f t="shared" ref="CG3:CR3" si="12">BU3+BI3</f>
        <v>4216</v>
      </c>
      <c r="CH3" s="53">
        <f t="shared" si="12"/>
        <v>5268</v>
      </c>
      <c r="CI3" s="53">
        <f t="shared" si="12"/>
        <v>5</v>
      </c>
      <c r="CJ3" s="53">
        <f t="shared" si="12"/>
        <v>97</v>
      </c>
      <c r="CK3" s="53">
        <f t="shared" si="12"/>
        <v>163</v>
      </c>
      <c r="CL3" s="53">
        <f t="shared" si="12"/>
        <v>832</v>
      </c>
      <c r="CM3" s="53">
        <f t="shared" si="12"/>
        <v>312</v>
      </c>
      <c r="CN3" s="53">
        <f t="shared" si="12"/>
        <v>4537</v>
      </c>
      <c r="CO3" s="53">
        <f t="shared" si="12"/>
        <v>245</v>
      </c>
      <c r="CP3" s="53">
        <f t="shared" si="12"/>
        <v>3347</v>
      </c>
      <c r="CQ3" s="53">
        <f t="shared" si="12"/>
        <v>2958</v>
      </c>
      <c r="CR3" s="53">
        <f t="shared" si="12"/>
        <v>1705</v>
      </c>
    </row>
    <row r="4" spans="1:96" x14ac:dyDescent="0.25">
      <c r="A4" s="5" t="s">
        <v>8</v>
      </c>
      <c r="B4" s="5" t="s">
        <v>9</v>
      </c>
      <c r="C4" s="5">
        <v>147246</v>
      </c>
      <c r="D4" s="5">
        <v>115421</v>
      </c>
      <c r="E4" s="5">
        <v>7119</v>
      </c>
      <c r="F4" s="5">
        <v>15388</v>
      </c>
      <c r="G4" s="5">
        <v>16342</v>
      </c>
      <c r="H4" s="5">
        <v>640</v>
      </c>
      <c r="I4" s="5">
        <v>1273</v>
      </c>
      <c r="J4" s="5">
        <v>455</v>
      </c>
      <c r="K4" s="5">
        <v>1183</v>
      </c>
      <c r="L4" s="5">
        <v>1058</v>
      </c>
      <c r="M4" s="5">
        <v>588</v>
      </c>
      <c r="N4" s="5">
        <v>886</v>
      </c>
      <c r="O4" s="5">
        <v>929</v>
      </c>
      <c r="P4" s="5">
        <v>0</v>
      </c>
      <c r="Q4" s="5">
        <v>6</v>
      </c>
      <c r="R4" s="5">
        <v>19</v>
      </c>
      <c r="S4" s="5">
        <v>324</v>
      </c>
      <c r="T4" s="5">
        <v>60</v>
      </c>
      <c r="U4" s="5">
        <v>54</v>
      </c>
      <c r="V4" s="5">
        <v>0</v>
      </c>
      <c r="W4" s="5"/>
      <c r="X4" s="5"/>
      <c r="Y4" s="5">
        <v>45</v>
      </c>
      <c r="Z4" s="5">
        <v>59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19">
        <f t="shared" si="0"/>
        <v>945</v>
      </c>
      <c r="AM4" s="19">
        <f t="shared" si="1"/>
        <v>929</v>
      </c>
      <c r="AN4" s="19">
        <f t="shared" si="2"/>
        <v>0</v>
      </c>
      <c r="AO4" s="19">
        <f t="shared" si="3"/>
        <v>6</v>
      </c>
      <c r="AP4" s="19">
        <f t="shared" si="4"/>
        <v>19</v>
      </c>
      <c r="AQ4" s="19">
        <f t="shared" si="5"/>
        <v>324</v>
      </c>
      <c r="AR4" s="19">
        <f t="shared" si="6"/>
        <v>60</v>
      </c>
      <c r="AS4" s="19">
        <f t="shared" si="7"/>
        <v>54</v>
      </c>
      <c r="AT4" s="19">
        <f t="shared" si="8"/>
        <v>0</v>
      </c>
      <c r="AU4" s="19">
        <f t="shared" si="9"/>
        <v>0</v>
      </c>
      <c r="AV4" s="19">
        <f t="shared" si="10"/>
        <v>0</v>
      </c>
      <c r="AW4" s="19">
        <f t="shared" si="11"/>
        <v>45</v>
      </c>
      <c r="AX4" s="5">
        <v>16152</v>
      </c>
      <c r="AY4" s="5">
        <v>17301</v>
      </c>
      <c r="AZ4" s="5">
        <v>1743</v>
      </c>
      <c r="BA4" s="5">
        <v>811</v>
      </c>
      <c r="BB4" s="5">
        <v>427</v>
      </c>
      <c r="BC4" s="5">
        <v>1382</v>
      </c>
      <c r="BD4" s="5">
        <v>1062</v>
      </c>
      <c r="BE4" s="5">
        <v>589</v>
      </c>
      <c r="BF4" s="5">
        <v>17164</v>
      </c>
      <c r="BG4" s="5">
        <v>5983</v>
      </c>
      <c r="BH4" s="5">
        <v>630</v>
      </c>
      <c r="BI4" s="5">
        <v>851</v>
      </c>
      <c r="BJ4" s="5">
        <v>927</v>
      </c>
      <c r="BK4" s="5">
        <v>0</v>
      </c>
      <c r="BL4" s="5">
        <v>9</v>
      </c>
      <c r="BM4" s="19">
        <v>34</v>
      </c>
      <c r="BN4" s="19">
        <v>267</v>
      </c>
      <c r="BO4" s="5">
        <v>54</v>
      </c>
      <c r="BP4" s="5">
        <v>854</v>
      </c>
      <c r="BQ4" s="5">
        <v>62</v>
      </c>
      <c r="BR4" s="5">
        <v>587</v>
      </c>
      <c r="BS4" s="5">
        <v>365</v>
      </c>
      <c r="BT4" s="5">
        <v>86</v>
      </c>
      <c r="BU4" s="5">
        <v>54</v>
      </c>
      <c r="BV4" s="5">
        <v>100</v>
      </c>
      <c r="BW4" s="5">
        <v>0</v>
      </c>
      <c r="BX4" s="5">
        <v>0</v>
      </c>
      <c r="BY4" s="5">
        <v>9</v>
      </c>
      <c r="BZ4" s="5">
        <v>21</v>
      </c>
      <c r="CA4" s="5">
        <v>4</v>
      </c>
      <c r="CB4" s="5">
        <v>40</v>
      </c>
      <c r="CC4" s="5">
        <v>13</v>
      </c>
      <c r="CD4" s="5">
        <v>33</v>
      </c>
      <c r="CE4" s="5">
        <v>46</v>
      </c>
      <c r="CF4" s="5">
        <v>70</v>
      </c>
      <c r="CG4" s="53">
        <f t="shared" ref="CG4:CG40" si="13">BU4+BI4</f>
        <v>905</v>
      </c>
      <c r="CH4" s="53">
        <f t="shared" ref="CH4:CH40" si="14">BV4+BJ4</f>
        <v>1027</v>
      </c>
      <c r="CI4" s="53">
        <f t="shared" ref="CI4:CI40" si="15">BW4+BK4</f>
        <v>0</v>
      </c>
      <c r="CJ4" s="53">
        <f t="shared" ref="CJ4:CJ40" si="16">BX4+BL4</f>
        <v>9</v>
      </c>
      <c r="CK4" s="53">
        <f t="shared" ref="CK4:CK40" si="17">BY4+BM4</f>
        <v>43</v>
      </c>
      <c r="CL4" s="53">
        <f t="shared" ref="CL4:CL40" si="18">BZ4+BN4</f>
        <v>288</v>
      </c>
      <c r="CM4" s="53">
        <f t="shared" ref="CM4:CM40" si="19">CA4+BO4</f>
        <v>58</v>
      </c>
      <c r="CN4" s="53">
        <f t="shared" ref="CN4:CN40" si="20">CB4+BP4</f>
        <v>894</v>
      </c>
      <c r="CO4" s="53">
        <f t="shared" ref="CO4:CO40" si="21">CC4+BQ4</f>
        <v>75</v>
      </c>
      <c r="CP4" s="53">
        <f t="shared" ref="CP4:CP40" si="22">CD4+BR4</f>
        <v>620</v>
      </c>
      <c r="CQ4" s="53">
        <f t="shared" ref="CQ4:CQ40" si="23">CE4+BS4</f>
        <v>411</v>
      </c>
      <c r="CR4" s="53">
        <f t="shared" ref="CR4:CR40" si="24">CF4+BT4</f>
        <v>156</v>
      </c>
    </row>
    <row r="5" spans="1:96" x14ac:dyDescent="0.25">
      <c r="A5" s="4" t="s">
        <v>10</v>
      </c>
      <c r="B5" s="4" t="s">
        <v>11</v>
      </c>
      <c r="C5" s="4">
        <v>109255</v>
      </c>
      <c r="D5" s="4">
        <v>84228</v>
      </c>
      <c r="E5" s="4">
        <v>6371</v>
      </c>
      <c r="F5" s="4">
        <v>13031</v>
      </c>
      <c r="G5" s="4">
        <v>13869</v>
      </c>
      <c r="H5" s="4">
        <v>662</v>
      </c>
      <c r="I5" s="4">
        <v>655</v>
      </c>
      <c r="J5" s="4">
        <v>478</v>
      </c>
      <c r="K5" s="4">
        <v>1364</v>
      </c>
      <c r="L5" s="4">
        <v>1547</v>
      </c>
      <c r="M5" s="4">
        <v>947</v>
      </c>
      <c r="N5" s="4">
        <v>660</v>
      </c>
      <c r="O5" s="4">
        <v>693</v>
      </c>
      <c r="P5" s="4">
        <v>0</v>
      </c>
      <c r="Q5" s="4">
        <v>2</v>
      </c>
      <c r="R5" s="4">
        <v>13</v>
      </c>
      <c r="S5" s="4">
        <v>224</v>
      </c>
      <c r="T5" s="4">
        <v>80</v>
      </c>
      <c r="U5" s="4">
        <v>77</v>
      </c>
      <c r="V5" s="4">
        <v>0</v>
      </c>
      <c r="W5" s="4"/>
      <c r="X5" s="4"/>
      <c r="Y5" s="4">
        <v>43</v>
      </c>
      <c r="Z5" s="4">
        <v>69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20">
        <f t="shared" si="0"/>
        <v>729</v>
      </c>
      <c r="AM5" s="20">
        <f t="shared" si="1"/>
        <v>693</v>
      </c>
      <c r="AN5" s="20">
        <f t="shared" si="2"/>
        <v>0</v>
      </c>
      <c r="AO5" s="20">
        <f t="shared" si="3"/>
        <v>2</v>
      </c>
      <c r="AP5" s="20">
        <f t="shared" si="4"/>
        <v>13</v>
      </c>
      <c r="AQ5" s="20">
        <f t="shared" si="5"/>
        <v>224</v>
      </c>
      <c r="AR5" s="20">
        <f t="shared" si="6"/>
        <v>80</v>
      </c>
      <c r="AS5" s="20">
        <f t="shared" si="7"/>
        <v>77</v>
      </c>
      <c r="AT5" s="20">
        <f t="shared" si="8"/>
        <v>0</v>
      </c>
      <c r="AU5" s="20">
        <f t="shared" si="9"/>
        <v>0</v>
      </c>
      <c r="AV5" s="20">
        <f t="shared" si="10"/>
        <v>0</v>
      </c>
      <c r="AW5" s="20">
        <f t="shared" si="11"/>
        <v>43</v>
      </c>
      <c r="AX5" s="4">
        <v>13576</v>
      </c>
      <c r="AY5" s="4">
        <v>14478</v>
      </c>
      <c r="AZ5" s="4">
        <v>1527</v>
      </c>
      <c r="BA5" s="4">
        <v>331</v>
      </c>
      <c r="BB5" s="4">
        <v>538</v>
      </c>
      <c r="BC5" s="4">
        <v>1578</v>
      </c>
      <c r="BD5" s="4">
        <v>1585</v>
      </c>
      <c r="BE5" s="4">
        <v>992</v>
      </c>
      <c r="BF5" s="4">
        <v>13942</v>
      </c>
      <c r="BG5" s="4">
        <v>6284</v>
      </c>
      <c r="BH5" s="4">
        <v>820</v>
      </c>
      <c r="BI5" s="4">
        <v>651</v>
      </c>
      <c r="BJ5" s="4">
        <v>718</v>
      </c>
      <c r="BK5" s="4">
        <v>0</v>
      </c>
      <c r="BL5" s="4">
        <v>2</v>
      </c>
      <c r="BM5" s="4">
        <v>17</v>
      </c>
      <c r="BN5" s="4">
        <v>212</v>
      </c>
      <c r="BO5" s="4">
        <v>103</v>
      </c>
      <c r="BP5" s="4">
        <v>669</v>
      </c>
      <c r="BQ5" s="4">
        <v>80</v>
      </c>
      <c r="BR5" s="4">
        <v>561</v>
      </c>
      <c r="BS5" s="4">
        <v>432</v>
      </c>
      <c r="BT5" s="4">
        <v>75</v>
      </c>
      <c r="BU5" s="4">
        <v>75</v>
      </c>
      <c r="BV5" s="4">
        <v>133</v>
      </c>
      <c r="BW5" s="4">
        <v>0</v>
      </c>
      <c r="BX5" s="4">
        <v>0</v>
      </c>
      <c r="BY5" s="4">
        <v>11</v>
      </c>
      <c r="BZ5" s="4">
        <v>55</v>
      </c>
      <c r="CA5" s="4">
        <v>13</v>
      </c>
      <c r="CB5" s="4">
        <v>97</v>
      </c>
      <c r="CC5" s="4">
        <v>19</v>
      </c>
      <c r="CD5" s="4">
        <v>58</v>
      </c>
      <c r="CE5" s="4">
        <v>67</v>
      </c>
      <c r="CF5" s="4">
        <v>32</v>
      </c>
      <c r="CG5" s="4">
        <f t="shared" si="13"/>
        <v>726</v>
      </c>
      <c r="CH5" s="4">
        <f t="shared" si="14"/>
        <v>851</v>
      </c>
      <c r="CI5" s="4">
        <f t="shared" si="15"/>
        <v>0</v>
      </c>
      <c r="CJ5" s="4">
        <f t="shared" si="16"/>
        <v>2</v>
      </c>
      <c r="CK5" s="4">
        <f t="shared" si="17"/>
        <v>28</v>
      </c>
      <c r="CL5" s="4">
        <f t="shared" si="18"/>
        <v>267</v>
      </c>
      <c r="CM5" s="4">
        <f t="shared" si="19"/>
        <v>116</v>
      </c>
      <c r="CN5" s="4">
        <f t="shared" si="20"/>
        <v>766</v>
      </c>
      <c r="CO5" s="4">
        <f t="shared" si="21"/>
        <v>99</v>
      </c>
      <c r="CP5" s="4">
        <f t="shared" si="22"/>
        <v>619</v>
      </c>
      <c r="CQ5" s="4">
        <f t="shared" si="23"/>
        <v>499</v>
      </c>
      <c r="CR5" s="20">
        <f t="shared" si="24"/>
        <v>107</v>
      </c>
    </row>
    <row r="6" spans="1:96" x14ac:dyDescent="0.25">
      <c r="A6" s="5" t="s">
        <v>12</v>
      </c>
      <c r="B6" s="5" t="s">
        <v>13</v>
      </c>
      <c r="C6" s="5">
        <v>82745</v>
      </c>
      <c r="D6" s="5">
        <v>65980</v>
      </c>
      <c r="E6" s="5">
        <v>4172</v>
      </c>
      <c r="F6" s="5">
        <v>14551</v>
      </c>
      <c r="G6" s="5">
        <v>15571</v>
      </c>
      <c r="H6" s="5">
        <v>1067</v>
      </c>
      <c r="I6" s="5">
        <v>1100</v>
      </c>
      <c r="J6" s="5">
        <v>441</v>
      </c>
      <c r="K6" s="5">
        <v>1634</v>
      </c>
      <c r="L6" s="5">
        <v>1521</v>
      </c>
      <c r="M6" s="5">
        <v>945</v>
      </c>
      <c r="N6" s="5">
        <v>629</v>
      </c>
      <c r="O6" s="5">
        <v>659</v>
      </c>
      <c r="P6" s="5">
        <v>0</v>
      </c>
      <c r="Q6" s="5">
        <v>1</v>
      </c>
      <c r="R6" s="5">
        <v>11</v>
      </c>
      <c r="S6" s="5">
        <v>132</v>
      </c>
      <c r="T6" s="5">
        <v>52</v>
      </c>
      <c r="U6" s="5">
        <v>27</v>
      </c>
      <c r="V6" s="5">
        <v>0</v>
      </c>
      <c r="W6" s="5"/>
      <c r="X6" s="5"/>
      <c r="Y6" s="5">
        <v>92</v>
      </c>
      <c r="Z6" s="5">
        <v>72</v>
      </c>
      <c r="AA6" s="5">
        <v>7</v>
      </c>
      <c r="AB6" s="5">
        <v>0</v>
      </c>
      <c r="AC6" s="5">
        <v>0</v>
      </c>
      <c r="AD6" s="5">
        <v>0</v>
      </c>
      <c r="AE6" s="5">
        <v>2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19">
        <f t="shared" si="0"/>
        <v>701</v>
      </c>
      <c r="AM6" s="19">
        <f t="shared" si="1"/>
        <v>666</v>
      </c>
      <c r="AN6" s="19">
        <f t="shared" si="2"/>
        <v>0</v>
      </c>
      <c r="AO6" s="19">
        <f t="shared" si="3"/>
        <v>1</v>
      </c>
      <c r="AP6" s="19">
        <f t="shared" si="4"/>
        <v>11</v>
      </c>
      <c r="AQ6" s="19">
        <f t="shared" si="5"/>
        <v>134</v>
      </c>
      <c r="AR6" s="19">
        <f t="shared" si="6"/>
        <v>52</v>
      </c>
      <c r="AS6" s="19">
        <f t="shared" si="7"/>
        <v>27</v>
      </c>
      <c r="AT6" s="19">
        <f t="shared" si="8"/>
        <v>0</v>
      </c>
      <c r="AU6" s="19">
        <f t="shared" si="9"/>
        <v>0</v>
      </c>
      <c r="AV6" s="19">
        <f t="shared" si="10"/>
        <v>0</v>
      </c>
      <c r="AW6" s="19">
        <f t="shared" si="11"/>
        <v>92</v>
      </c>
      <c r="AX6" s="5">
        <v>15027</v>
      </c>
      <c r="AY6" s="5">
        <v>16412</v>
      </c>
      <c r="AZ6" s="5">
        <v>2512</v>
      </c>
      <c r="BA6" s="5">
        <v>524</v>
      </c>
      <c r="BB6" s="5">
        <v>434</v>
      </c>
      <c r="BC6" s="5">
        <v>1780</v>
      </c>
      <c r="BD6" s="5">
        <v>1545</v>
      </c>
      <c r="BE6" s="5">
        <v>990</v>
      </c>
      <c r="BF6" s="5">
        <v>15680</v>
      </c>
      <c r="BG6" s="5">
        <v>6557</v>
      </c>
      <c r="BH6" s="5">
        <v>709</v>
      </c>
      <c r="BI6" s="5">
        <v>628</v>
      </c>
      <c r="BJ6" s="5">
        <v>689</v>
      </c>
      <c r="BK6" s="5">
        <v>0</v>
      </c>
      <c r="BL6" s="5">
        <v>2</v>
      </c>
      <c r="BM6" s="19">
        <v>11</v>
      </c>
      <c r="BN6" s="19">
        <v>132</v>
      </c>
      <c r="BO6" s="5">
        <v>70</v>
      </c>
      <c r="BP6" s="5">
        <v>688</v>
      </c>
      <c r="BQ6" s="5">
        <v>34</v>
      </c>
      <c r="BR6" s="5">
        <v>500</v>
      </c>
      <c r="BS6" s="5">
        <v>252</v>
      </c>
      <c r="BT6" s="5">
        <v>150</v>
      </c>
      <c r="BU6" s="5">
        <v>70</v>
      </c>
      <c r="BV6" s="5">
        <v>160</v>
      </c>
      <c r="BW6" s="5">
        <v>0</v>
      </c>
      <c r="BX6" s="5">
        <v>0</v>
      </c>
      <c r="BY6" s="5">
        <v>12</v>
      </c>
      <c r="BZ6" s="5">
        <v>59</v>
      </c>
      <c r="CA6" s="5">
        <v>17</v>
      </c>
      <c r="CB6" s="5">
        <v>184</v>
      </c>
      <c r="CC6" s="5">
        <v>18</v>
      </c>
      <c r="CD6" s="5">
        <v>46</v>
      </c>
      <c r="CE6" s="5">
        <v>63</v>
      </c>
      <c r="CF6" s="5">
        <v>271</v>
      </c>
      <c r="CG6" s="5">
        <f t="shared" si="13"/>
        <v>698</v>
      </c>
      <c r="CH6" s="5">
        <f t="shared" si="14"/>
        <v>849</v>
      </c>
      <c r="CI6" s="5">
        <f t="shared" si="15"/>
        <v>0</v>
      </c>
      <c r="CJ6" s="5">
        <f t="shared" si="16"/>
        <v>2</v>
      </c>
      <c r="CK6" s="5">
        <f t="shared" si="17"/>
        <v>23</v>
      </c>
      <c r="CL6" s="5">
        <f t="shared" si="18"/>
        <v>191</v>
      </c>
      <c r="CM6" s="5">
        <f t="shared" si="19"/>
        <v>87</v>
      </c>
      <c r="CN6" s="5">
        <f t="shared" si="20"/>
        <v>872</v>
      </c>
      <c r="CO6" s="5">
        <f t="shared" si="21"/>
        <v>52</v>
      </c>
      <c r="CP6" s="5">
        <f t="shared" si="22"/>
        <v>546</v>
      </c>
      <c r="CQ6" s="5">
        <f t="shared" si="23"/>
        <v>315</v>
      </c>
      <c r="CR6" s="19">
        <f t="shared" si="24"/>
        <v>421</v>
      </c>
    </row>
    <row r="7" spans="1:96" x14ac:dyDescent="0.25">
      <c r="A7" s="4" t="s">
        <v>14</v>
      </c>
      <c r="B7" s="4" t="s">
        <v>15</v>
      </c>
      <c r="C7" s="4">
        <v>63949</v>
      </c>
      <c r="D7" s="4">
        <v>47439</v>
      </c>
      <c r="E7" s="4">
        <v>2711</v>
      </c>
      <c r="F7" s="4">
        <v>6061</v>
      </c>
      <c r="G7" s="4">
        <v>6215</v>
      </c>
      <c r="H7" s="4">
        <v>367</v>
      </c>
      <c r="I7" s="4">
        <v>321</v>
      </c>
      <c r="J7" s="4">
        <v>256</v>
      </c>
      <c r="K7" s="4">
        <v>717</v>
      </c>
      <c r="L7" s="4">
        <v>746</v>
      </c>
      <c r="M7" s="4">
        <v>486</v>
      </c>
      <c r="N7" s="4">
        <v>461</v>
      </c>
      <c r="O7" s="4">
        <v>485</v>
      </c>
      <c r="P7" s="4">
        <v>0</v>
      </c>
      <c r="Q7" s="4">
        <v>3</v>
      </c>
      <c r="R7" s="4">
        <v>3</v>
      </c>
      <c r="S7" s="4">
        <v>132</v>
      </c>
      <c r="T7" s="4">
        <v>12</v>
      </c>
      <c r="U7" s="4">
        <v>10</v>
      </c>
      <c r="V7" s="4">
        <v>0</v>
      </c>
      <c r="W7" s="4"/>
      <c r="X7" s="4"/>
      <c r="Y7" s="4">
        <v>75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20">
        <f t="shared" si="0"/>
        <v>461</v>
      </c>
      <c r="AM7" s="20">
        <f t="shared" si="1"/>
        <v>485</v>
      </c>
      <c r="AN7" s="20">
        <f t="shared" si="2"/>
        <v>0</v>
      </c>
      <c r="AO7" s="20">
        <f t="shared" si="3"/>
        <v>3</v>
      </c>
      <c r="AP7" s="20">
        <f t="shared" si="4"/>
        <v>3</v>
      </c>
      <c r="AQ7" s="20">
        <f t="shared" si="5"/>
        <v>132</v>
      </c>
      <c r="AR7" s="20">
        <f t="shared" si="6"/>
        <v>12</v>
      </c>
      <c r="AS7" s="20">
        <f t="shared" si="7"/>
        <v>10</v>
      </c>
      <c r="AT7" s="20">
        <f t="shared" si="8"/>
        <v>0</v>
      </c>
      <c r="AU7" s="20">
        <f t="shared" si="9"/>
        <v>0</v>
      </c>
      <c r="AV7" s="20">
        <f t="shared" si="10"/>
        <v>0</v>
      </c>
      <c r="AW7" s="20">
        <f t="shared" si="11"/>
        <v>75</v>
      </c>
      <c r="AX7" s="4">
        <v>6301</v>
      </c>
      <c r="AY7" s="4">
        <v>6554</v>
      </c>
      <c r="AZ7" s="4">
        <v>782</v>
      </c>
      <c r="BA7" s="4">
        <v>134</v>
      </c>
      <c r="BB7" s="4">
        <v>287</v>
      </c>
      <c r="BC7" s="4">
        <v>914</v>
      </c>
      <c r="BD7" s="4">
        <v>754</v>
      </c>
      <c r="BE7" s="4">
        <v>474</v>
      </c>
      <c r="BF7" s="4">
        <v>6570</v>
      </c>
      <c r="BG7" s="4">
        <v>3527</v>
      </c>
      <c r="BH7" s="4">
        <v>468</v>
      </c>
      <c r="BI7" s="4">
        <v>489</v>
      </c>
      <c r="BJ7" s="4">
        <v>538</v>
      </c>
      <c r="BK7" s="4">
        <v>0</v>
      </c>
      <c r="BL7" s="4">
        <v>2</v>
      </c>
      <c r="BM7" s="4">
        <v>3</v>
      </c>
      <c r="BN7" s="4">
        <v>137</v>
      </c>
      <c r="BO7" s="4">
        <v>12</v>
      </c>
      <c r="BP7" s="4">
        <v>496</v>
      </c>
      <c r="BQ7" s="4">
        <v>15</v>
      </c>
      <c r="BR7" s="4">
        <v>418</v>
      </c>
      <c r="BS7" s="4">
        <v>275</v>
      </c>
      <c r="BT7" s="4">
        <v>78</v>
      </c>
      <c r="BU7" s="4">
        <v>42</v>
      </c>
      <c r="BV7" s="4">
        <v>74</v>
      </c>
      <c r="BW7" s="4">
        <v>0</v>
      </c>
      <c r="BX7" s="4">
        <v>0</v>
      </c>
      <c r="BY7" s="4">
        <v>8</v>
      </c>
      <c r="BZ7" s="4">
        <v>33</v>
      </c>
      <c r="CA7" s="4">
        <v>7</v>
      </c>
      <c r="CB7" s="4">
        <v>28</v>
      </c>
      <c r="CC7" s="4">
        <v>9</v>
      </c>
      <c r="CD7" s="4">
        <v>28</v>
      </c>
      <c r="CE7" s="4">
        <v>41</v>
      </c>
      <c r="CF7" s="4">
        <v>123</v>
      </c>
      <c r="CG7" s="4">
        <f t="shared" si="13"/>
        <v>531</v>
      </c>
      <c r="CH7" s="4">
        <f t="shared" si="14"/>
        <v>612</v>
      </c>
      <c r="CI7" s="4">
        <f t="shared" si="15"/>
        <v>0</v>
      </c>
      <c r="CJ7" s="4">
        <f t="shared" si="16"/>
        <v>2</v>
      </c>
      <c r="CK7" s="4">
        <f t="shared" si="17"/>
        <v>11</v>
      </c>
      <c r="CL7" s="4">
        <f t="shared" si="18"/>
        <v>170</v>
      </c>
      <c r="CM7" s="4">
        <f t="shared" si="19"/>
        <v>19</v>
      </c>
      <c r="CN7" s="4">
        <f t="shared" si="20"/>
        <v>524</v>
      </c>
      <c r="CO7" s="4">
        <f t="shared" si="21"/>
        <v>24</v>
      </c>
      <c r="CP7" s="4">
        <f t="shared" si="22"/>
        <v>446</v>
      </c>
      <c r="CQ7" s="4">
        <f t="shared" si="23"/>
        <v>316</v>
      </c>
      <c r="CR7" s="20">
        <f t="shared" si="24"/>
        <v>201</v>
      </c>
    </row>
    <row r="8" spans="1:96" x14ac:dyDescent="0.25">
      <c r="A8" s="5" t="s">
        <v>16</v>
      </c>
      <c r="B8" s="5" t="s">
        <v>17</v>
      </c>
      <c r="C8" s="5">
        <v>78699</v>
      </c>
      <c r="D8" s="5">
        <v>62970</v>
      </c>
      <c r="E8" s="5">
        <v>4005</v>
      </c>
      <c r="F8" s="5">
        <v>8802</v>
      </c>
      <c r="G8" s="5">
        <v>9251</v>
      </c>
      <c r="H8" s="5">
        <v>568</v>
      </c>
      <c r="I8" s="5">
        <v>1085</v>
      </c>
      <c r="J8" s="5">
        <v>503</v>
      </c>
      <c r="K8" s="5">
        <v>1133</v>
      </c>
      <c r="L8" s="5">
        <v>817</v>
      </c>
      <c r="M8" s="5">
        <v>514</v>
      </c>
      <c r="N8" s="5">
        <v>475</v>
      </c>
      <c r="O8" s="5">
        <v>511</v>
      </c>
      <c r="P8" s="5">
        <v>0</v>
      </c>
      <c r="Q8" s="5">
        <v>2</v>
      </c>
      <c r="R8" s="5">
        <v>0</v>
      </c>
      <c r="S8" s="5">
        <v>139</v>
      </c>
      <c r="T8" s="5">
        <v>28</v>
      </c>
      <c r="U8" s="5">
        <v>10</v>
      </c>
      <c r="V8" s="5">
        <v>0</v>
      </c>
      <c r="W8" s="5"/>
      <c r="X8" s="5"/>
      <c r="Y8" s="5">
        <v>29</v>
      </c>
      <c r="Z8" s="5">
        <v>26</v>
      </c>
      <c r="AA8" s="5">
        <v>37</v>
      </c>
      <c r="AB8" s="5">
        <v>0</v>
      </c>
      <c r="AC8" s="5">
        <v>3</v>
      </c>
      <c r="AD8" s="5">
        <v>7</v>
      </c>
      <c r="AE8" s="5">
        <v>21</v>
      </c>
      <c r="AF8" s="5">
        <v>1</v>
      </c>
      <c r="AG8" s="5">
        <v>5</v>
      </c>
      <c r="AH8" s="5">
        <v>0</v>
      </c>
      <c r="AI8" s="5">
        <v>0</v>
      </c>
      <c r="AJ8" s="5">
        <v>0</v>
      </c>
      <c r="AK8" s="5">
        <v>4</v>
      </c>
      <c r="AL8" s="19">
        <f t="shared" si="0"/>
        <v>501</v>
      </c>
      <c r="AM8" s="19">
        <f t="shared" si="1"/>
        <v>548</v>
      </c>
      <c r="AN8" s="19">
        <f t="shared" si="2"/>
        <v>0</v>
      </c>
      <c r="AO8" s="19">
        <f t="shared" si="3"/>
        <v>5</v>
      </c>
      <c r="AP8" s="19">
        <f t="shared" si="4"/>
        <v>7</v>
      </c>
      <c r="AQ8" s="19">
        <f t="shared" si="5"/>
        <v>160</v>
      </c>
      <c r="AR8" s="19">
        <f t="shared" si="6"/>
        <v>29</v>
      </c>
      <c r="AS8" s="19">
        <f t="shared" si="7"/>
        <v>15</v>
      </c>
      <c r="AT8" s="19">
        <f t="shared" si="8"/>
        <v>0</v>
      </c>
      <c r="AU8" s="19">
        <f t="shared" si="9"/>
        <v>0</v>
      </c>
      <c r="AV8" s="19">
        <f t="shared" si="10"/>
        <v>0</v>
      </c>
      <c r="AW8" s="19">
        <f t="shared" si="11"/>
        <v>33</v>
      </c>
      <c r="AX8" s="5">
        <v>8812</v>
      </c>
      <c r="AY8" s="5">
        <v>9339</v>
      </c>
      <c r="AZ8" s="5">
        <v>1178</v>
      </c>
      <c r="BA8" s="5">
        <v>886</v>
      </c>
      <c r="BB8" s="5">
        <v>447</v>
      </c>
      <c r="BC8" s="5">
        <v>1229</v>
      </c>
      <c r="BD8" s="5">
        <v>845</v>
      </c>
      <c r="BE8" s="5">
        <v>512</v>
      </c>
      <c r="BF8" s="5">
        <v>9007</v>
      </c>
      <c r="BG8" s="5">
        <v>3312</v>
      </c>
      <c r="BH8" s="5">
        <v>381</v>
      </c>
      <c r="BI8" s="5">
        <v>408</v>
      </c>
      <c r="BJ8" s="5">
        <v>461</v>
      </c>
      <c r="BK8" s="5">
        <v>0</v>
      </c>
      <c r="BL8" s="5">
        <v>2</v>
      </c>
      <c r="BM8" s="19">
        <v>1</v>
      </c>
      <c r="BN8" s="19">
        <v>79</v>
      </c>
      <c r="BO8" s="5">
        <v>29</v>
      </c>
      <c r="BP8" s="5">
        <v>384</v>
      </c>
      <c r="BQ8" s="5">
        <v>15</v>
      </c>
      <c r="BR8" s="5">
        <v>281</v>
      </c>
      <c r="BS8" s="5">
        <v>148</v>
      </c>
      <c r="BT8" s="5">
        <v>44</v>
      </c>
      <c r="BU8" s="5">
        <v>23</v>
      </c>
      <c r="BV8" s="5">
        <v>44</v>
      </c>
      <c r="BW8" s="5">
        <v>0</v>
      </c>
      <c r="BX8" s="5">
        <v>4</v>
      </c>
      <c r="BY8" s="5">
        <v>8</v>
      </c>
      <c r="BZ8" s="5">
        <v>23</v>
      </c>
      <c r="CA8" s="5">
        <v>4</v>
      </c>
      <c r="CB8" s="5">
        <v>17</v>
      </c>
      <c r="CC8" s="5">
        <v>5</v>
      </c>
      <c r="CD8" s="5">
        <v>9</v>
      </c>
      <c r="CE8" s="5">
        <v>18</v>
      </c>
      <c r="CF8" s="5">
        <v>16</v>
      </c>
      <c r="CG8" s="5">
        <f t="shared" si="13"/>
        <v>431</v>
      </c>
      <c r="CH8" s="5">
        <f t="shared" si="14"/>
        <v>505</v>
      </c>
      <c r="CI8" s="5">
        <f t="shared" si="15"/>
        <v>0</v>
      </c>
      <c r="CJ8" s="5">
        <f t="shared" si="16"/>
        <v>6</v>
      </c>
      <c r="CK8" s="5">
        <f t="shared" si="17"/>
        <v>9</v>
      </c>
      <c r="CL8" s="5">
        <f t="shared" si="18"/>
        <v>102</v>
      </c>
      <c r="CM8" s="5">
        <f t="shared" si="19"/>
        <v>33</v>
      </c>
      <c r="CN8" s="5">
        <f t="shared" si="20"/>
        <v>401</v>
      </c>
      <c r="CO8" s="5">
        <f t="shared" si="21"/>
        <v>20</v>
      </c>
      <c r="CP8" s="5">
        <f t="shared" si="22"/>
        <v>290</v>
      </c>
      <c r="CQ8" s="5">
        <f t="shared" si="23"/>
        <v>166</v>
      </c>
      <c r="CR8" s="19">
        <f t="shared" si="24"/>
        <v>60</v>
      </c>
    </row>
    <row r="9" spans="1:96" x14ac:dyDescent="0.25">
      <c r="A9" s="4" t="s">
        <v>18</v>
      </c>
      <c r="B9" s="4" t="s">
        <v>19</v>
      </c>
      <c r="C9" s="4">
        <v>64742</v>
      </c>
      <c r="D9" s="4">
        <v>50171</v>
      </c>
      <c r="E9" s="4">
        <v>2529</v>
      </c>
      <c r="F9" s="4">
        <v>11839</v>
      </c>
      <c r="G9" s="4">
        <v>12652</v>
      </c>
      <c r="H9" s="4">
        <v>679</v>
      </c>
      <c r="I9" s="4">
        <v>954</v>
      </c>
      <c r="J9" s="4">
        <v>452</v>
      </c>
      <c r="K9" s="4">
        <v>994</v>
      </c>
      <c r="L9" s="4">
        <v>775</v>
      </c>
      <c r="M9" s="4">
        <v>410</v>
      </c>
      <c r="N9" s="4">
        <v>376</v>
      </c>
      <c r="O9" s="4">
        <v>389</v>
      </c>
      <c r="P9" s="4">
        <v>0</v>
      </c>
      <c r="Q9" s="4">
        <v>1</v>
      </c>
      <c r="R9" s="4">
        <v>6</v>
      </c>
      <c r="S9" s="4">
        <v>103</v>
      </c>
      <c r="T9" s="4">
        <v>26</v>
      </c>
      <c r="U9" s="4">
        <v>18</v>
      </c>
      <c r="V9" s="4">
        <v>0</v>
      </c>
      <c r="W9" s="4"/>
      <c r="X9" s="4"/>
      <c r="Y9" s="4">
        <v>39</v>
      </c>
      <c r="Z9" s="4">
        <v>24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20">
        <f t="shared" si="0"/>
        <v>400</v>
      </c>
      <c r="AM9" s="20">
        <f t="shared" si="1"/>
        <v>389</v>
      </c>
      <c r="AN9" s="20">
        <f t="shared" si="2"/>
        <v>0</v>
      </c>
      <c r="AO9" s="20">
        <f t="shared" si="3"/>
        <v>1</v>
      </c>
      <c r="AP9" s="20">
        <f t="shared" si="4"/>
        <v>6</v>
      </c>
      <c r="AQ9" s="20">
        <f t="shared" si="5"/>
        <v>103</v>
      </c>
      <c r="AR9" s="20">
        <f t="shared" si="6"/>
        <v>26</v>
      </c>
      <c r="AS9" s="20">
        <f t="shared" si="7"/>
        <v>18</v>
      </c>
      <c r="AT9" s="20">
        <f t="shared" si="8"/>
        <v>0</v>
      </c>
      <c r="AU9" s="20">
        <f t="shared" si="9"/>
        <v>0</v>
      </c>
      <c r="AV9" s="20">
        <f t="shared" si="10"/>
        <v>0</v>
      </c>
      <c r="AW9" s="20">
        <f t="shared" si="11"/>
        <v>39</v>
      </c>
      <c r="AX9" s="4">
        <v>11901</v>
      </c>
      <c r="AY9" s="4">
        <v>12833</v>
      </c>
      <c r="AZ9" s="4">
        <v>1897</v>
      </c>
      <c r="BA9" s="4">
        <v>417</v>
      </c>
      <c r="BB9" s="4">
        <v>482</v>
      </c>
      <c r="BC9" s="4">
        <v>1087</v>
      </c>
      <c r="BD9" s="4">
        <v>780</v>
      </c>
      <c r="BE9" s="4">
        <v>416</v>
      </c>
      <c r="BF9" s="4">
        <v>12659</v>
      </c>
      <c r="BG9" s="4">
        <v>4249</v>
      </c>
      <c r="BH9" s="4">
        <v>681</v>
      </c>
      <c r="BI9" s="4">
        <v>403</v>
      </c>
      <c r="BJ9" s="4">
        <v>439</v>
      </c>
      <c r="BK9" s="4">
        <v>0</v>
      </c>
      <c r="BL9" s="4">
        <v>0</v>
      </c>
      <c r="BM9" s="4">
        <v>6</v>
      </c>
      <c r="BN9" s="4">
        <v>106</v>
      </c>
      <c r="BO9" s="4">
        <v>45</v>
      </c>
      <c r="BP9" s="4">
        <v>398</v>
      </c>
      <c r="BQ9" s="4">
        <v>25</v>
      </c>
      <c r="BR9" s="4">
        <v>291</v>
      </c>
      <c r="BS9" s="4">
        <v>188</v>
      </c>
      <c r="BT9" s="4">
        <v>91</v>
      </c>
      <c r="BU9" s="4">
        <v>24</v>
      </c>
      <c r="BV9" s="4">
        <v>47</v>
      </c>
      <c r="BW9" s="4">
        <v>0</v>
      </c>
      <c r="BX9" s="4">
        <v>0</v>
      </c>
      <c r="BY9" s="4">
        <v>0</v>
      </c>
      <c r="BZ9" s="4">
        <v>9</v>
      </c>
      <c r="CA9" s="4">
        <v>4</v>
      </c>
      <c r="CB9" s="4">
        <v>22</v>
      </c>
      <c r="CC9" s="4">
        <v>4</v>
      </c>
      <c r="CD9" s="4">
        <v>19</v>
      </c>
      <c r="CE9" s="4">
        <v>19</v>
      </c>
      <c r="CF9" s="4">
        <v>16</v>
      </c>
      <c r="CG9" s="4">
        <f t="shared" si="13"/>
        <v>427</v>
      </c>
      <c r="CH9" s="4">
        <f t="shared" si="14"/>
        <v>486</v>
      </c>
      <c r="CI9" s="4">
        <f t="shared" si="15"/>
        <v>0</v>
      </c>
      <c r="CJ9" s="4">
        <f t="shared" si="16"/>
        <v>0</v>
      </c>
      <c r="CK9" s="4">
        <f t="shared" si="17"/>
        <v>6</v>
      </c>
      <c r="CL9" s="4">
        <f t="shared" si="18"/>
        <v>115</v>
      </c>
      <c r="CM9" s="4">
        <f t="shared" si="19"/>
        <v>49</v>
      </c>
      <c r="CN9" s="4">
        <f t="shared" si="20"/>
        <v>420</v>
      </c>
      <c r="CO9" s="4">
        <f t="shared" si="21"/>
        <v>29</v>
      </c>
      <c r="CP9" s="4">
        <f t="shared" si="22"/>
        <v>310</v>
      </c>
      <c r="CQ9" s="4">
        <f t="shared" si="23"/>
        <v>207</v>
      </c>
      <c r="CR9" s="20">
        <f t="shared" si="24"/>
        <v>107</v>
      </c>
    </row>
    <row r="10" spans="1:96" x14ac:dyDescent="0.25">
      <c r="A10" s="5" t="s">
        <v>20</v>
      </c>
      <c r="B10" s="5" t="s">
        <v>21</v>
      </c>
      <c r="C10" s="5">
        <v>61528</v>
      </c>
      <c r="D10" s="5">
        <v>47591</v>
      </c>
      <c r="E10" s="5">
        <v>1868</v>
      </c>
      <c r="F10" s="5">
        <v>6269</v>
      </c>
      <c r="G10" s="5">
        <v>6532</v>
      </c>
      <c r="H10" s="5">
        <v>323</v>
      </c>
      <c r="I10" s="5">
        <v>348</v>
      </c>
      <c r="J10" s="5">
        <v>170</v>
      </c>
      <c r="K10" s="5">
        <v>484</v>
      </c>
      <c r="L10" s="5">
        <v>395</v>
      </c>
      <c r="M10" s="5">
        <v>230</v>
      </c>
      <c r="N10" s="5">
        <v>188</v>
      </c>
      <c r="O10" s="5">
        <v>194</v>
      </c>
      <c r="P10" s="5">
        <v>0</v>
      </c>
      <c r="Q10" s="5">
        <v>0</v>
      </c>
      <c r="R10" s="5">
        <v>3</v>
      </c>
      <c r="S10" s="5">
        <v>73</v>
      </c>
      <c r="T10" s="5">
        <v>26</v>
      </c>
      <c r="U10" s="5">
        <v>22</v>
      </c>
      <c r="V10" s="5">
        <v>0</v>
      </c>
      <c r="W10" s="5"/>
      <c r="X10" s="5"/>
      <c r="Y10" s="5">
        <v>23</v>
      </c>
      <c r="Z10" s="5">
        <v>23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19">
        <f t="shared" si="0"/>
        <v>211</v>
      </c>
      <c r="AM10" s="19">
        <f t="shared" si="1"/>
        <v>194</v>
      </c>
      <c r="AN10" s="19">
        <f t="shared" si="2"/>
        <v>0</v>
      </c>
      <c r="AO10" s="19">
        <f t="shared" si="3"/>
        <v>0</v>
      </c>
      <c r="AP10" s="19">
        <f t="shared" si="4"/>
        <v>3</v>
      </c>
      <c r="AQ10" s="19">
        <f t="shared" si="5"/>
        <v>73</v>
      </c>
      <c r="AR10" s="19">
        <f t="shared" si="6"/>
        <v>26</v>
      </c>
      <c r="AS10" s="19">
        <f t="shared" si="7"/>
        <v>22</v>
      </c>
      <c r="AT10" s="19">
        <f t="shared" si="8"/>
        <v>0</v>
      </c>
      <c r="AU10" s="19">
        <f t="shared" si="9"/>
        <v>0</v>
      </c>
      <c r="AV10" s="19">
        <f t="shared" si="10"/>
        <v>0</v>
      </c>
      <c r="AW10" s="19">
        <f t="shared" si="11"/>
        <v>23</v>
      </c>
      <c r="AX10" s="5">
        <v>6504</v>
      </c>
      <c r="AY10" s="5">
        <v>6921</v>
      </c>
      <c r="AZ10" s="5">
        <v>828</v>
      </c>
      <c r="BA10" s="5">
        <v>118</v>
      </c>
      <c r="BB10" s="5">
        <v>180</v>
      </c>
      <c r="BC10" s="5">
        <v>610</v>
      </c>
      <c r="BD10" s="5">
        <v>406</v>
      </c>
      <c r="BE10" s="5">
        <v>250</v>
      </c>
      <c r="BF10" s="5">
        <v>6810</v>
      </c>
      <c r="BG10" s="5">
        <v>2447</v>
      </c>
      <c r="BH10" s="5">
        <v>253</v>
      </c>
      <c r="BI10" s="5">
        <v>191</v>
      </c>
      <c r="BJ10" s="5">
        <v>203</v>
      </c>
      <c r="BK10" s="5">
        <v>0</v>
      </c>
      <c r="BL10" s="5">
        <v>0</v>
      </c>
      <c r="BM10" s="19">
        <v>2</v>
      </c>
      <c r="BN10" s="19">
        <v>60</v>
      </c>
      <c r="BO10" s="5">
        <v>38</v>
      </c>
      <c r="BP10" s="5">
        <v>183</v>
      </c>
      <c r="BQ10" s="5">
        <v>17</v>
      </c>
      <c r="BR10" s="5">
        <v>159</v>
      </c>
      <c r="BS10" s="5">
        <v>62</v>
      </c>
      <c r="BT10" s="5">
        <v>33</v>
      </c>
      <c r="BU10" s="5">
        <v>20</v>
      </c>
      <c r="BV10" s="5">
        <v>35</v>
      </c>
      <c r="BW10" s="5">
        <v>0</v>
      </c>
      <c r="BX10" s="5">
        <v>0</v>
      </c>
      <c r="BY10" s="5">
        <v>5</v>
      </c>
      <c r="BZ10" s="5">
        <v>24</v>
      </c>
      <c r="CA10" s="5">
        <v>4</v>
      </c>
      <c r="CB10" s="5">
        <v>26</v>
      </c>
      <c r="CC10" s="5">
        <v>7</v>
      </c>
      <c r="CD10" s="5">
        <v>13</v>
      </c>
      <c r="CE10" s="5">
        <v>17</v>
      </c>
      <c r="CF10" s="5">
        <v>36</v>
      </c>
      <c r="CG10" s="5">
        <f t="shared" si="13"/>
        <v>211</v>
      </c>
      <c r="CH10" s="5">
        <f t="shared" si="14"/>
        <v>238</v>
      </c>
      <c r="CI10" s="5">
        <f t="shared" si="15"/>
        <v>0</v>
      </c>
      <c r="CJ10" s="5">
        <f t="shared" si="16"/>
        <v>0</v>
      </c>
      <c r="CK10" s="5">
        <f t="shared" si="17"/>
        <v>7</v>
      </c>
      <c r="CL10" s="5">
        <f t="shared" si="18"/>
        <v>84</v>
      </c>
      <c r="CM10" s="5">
        <f t="shared" si="19"/>
        <v>42</v>
      </c>
      <c r="CN10" s="5">
        <f t="shared" si="20"/>
        <v>209</v>
      </c>
      <c r="CO10" s="5">
        <f t="shared" si="21"/>
        <v>24</v>
      </c>
      <c r="CP10" s="5">
        <f t="shared" si="22"/>
        <v>172</v>
      </c>
      <c r="CQ10" s="5">
        <f t="shared" si="23"/>
        <v>79</v>
      </c>
      <c r="CR10" s="19">
        <f t="shared" si="24"/>
        <v>69</v>
      </c>
    </row>
    <row r="11" spans="1:96" x14ac:dyDescent="0.25">
      <c r="A11" s="4" t="s">
        <v>22</v>
      </c>
      <c r="B11" s="4" t="s">
        <v>23</v>
      </c>
      <c r="C11" s="4">
        <v>48079</v>
      </c>
      <c r="D11" s="4">
        <v>36276</v>
      </c>
      <c r="E11" s="4">
        <v>1566</v>
      </c>
      <c r="F11" s="4">
        <v>8493</v>
      </c>
      <c r="G11" s="4">
        <v>8920</v>
      </c>
      <c r="H11" s="4">
        <v>366</v>
      </c>
      <c r="I11" s="4">
        <v>495</v>
      </c>
      <c r="J11" s="4">
        <v>350</v>
      </c>
      <c r="K11" s="4">
        <v>905</v>
      </c>
      <c r="L11" s="4">
        <v>1385</v>
      </c>
      <c r="M11" s="4">
        <v>908</v>
      </c>
      <c r="N11" s="4">
        <v>324</v>
      </c>
      <c r="O11" s="4">
        <v>325</v>
      </c>
      <c r="P11" s="4">
        <v>0</v>
      </c>
      <c r="Q11" s="4">
        <v>8</v>
      </c>
      <c r="R11" s="4">
        <v>10</v>
      </c>
      <c r="S11" s="4">
        <v>133</v>
      </c>
      <c r="T11" s="4">
        <v>57</v>
      </c>
      <c r="U11" s="4">
        <v>31</v>
      </c>
      <c r="V11" s="4">
        <v>0</v>
      </c>
      <c r="W11" s="4"/>
      <c r="X11" s="4"/>
      <c r="Y11" s="4">
        <v>32</v>
      </c>
      <c r="Z11" s="4">
        <v>28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20">
        <f t="shared" si="0"/>
        <v>352</v>
      </c>
      <c r="AM11" s="20">
        <f t="shared" si="1"/>
        <v>325</v>
      </c>
      <c r="AN11" s="20">
        <f t="shared" si="2"/>
        <v>0</v>
      </c>
      <c r="AO11" s="20">
        <f t="shared" si="3"/>
        <v>8</v>
      </c>
      <c r="AP11" s="20">
        <f t="shared" si="4"/>
        <v>10</v>
      </c>
      <c r="AQ11" s="20">
        <f t="shared" si="5"/>
        <v>133</v>
      </c>
      <c r="AR11" s="20">
        <f t="shared" si="6"/>
        <v>57</v>
      </c>
      <c r="AS11" s="20">
        <f t="shared" si="7"/>
        <v>31</v>
      </c>
      <c r="AT11" s="20">
        <f t="shared" si="8"/>
        <v>0</v>
      </c>
      <c r="AU11" s="20">
        <f t="shared" si="9"/>
        <v>0</v>
      </c>
      <c r="AV11" s="20">
        <f t="shared" si="10"/>
        <v>0</v>
      </c>
      <c r="AW11" s="20">
        <f t="shared" si="11"/>
        <v>32</v>
      </c>
      <c r="AX11" s="4">
        <v>8808</v>
      </c>
      <c r="AY11" s="4">
        <v>9389</v>
      </c>
      <c r="AZ11" s="4">
        <v>937</v>
      </c>
      <c r="BA11" s="4">
        <v>305</v>
      </c>
      <c r="BB11" s="4">
        <v>331</v>
      </c>
      <c r="BC11" s="4">
        <v>1091</v>
      </c>
      <c r="BD11" s="4">
        <v>1286</v>
      </c>
      <c r="BE11" s="4">
        <v>928</v>
      </c>
      <c r="BF11" s="4">
        <v>9310</v>
      </c>
      <c r="BG11" s="4">
        <v>4361</v>
      </c>
      <c r="BH11" s="4">
        <v>875</v>
      </c>
      <c r="BI11" s="4">
        <v>313</v>
      </c>
      <c r="BJ11" s="4">
        <v>324</v>
      </c>
      <c r="BK11" s="4">
        <v>0</v>
      </c>
      <c r="BL11" s="4">
        <v>4</v>
      </c>
      <c r="BM11" s="4">
        <v>8</v>
      </c>
      <c r="BN11" s="4">
        <v>115</v>
      </c>
      <c r="BO11" s="4">
        <v>50</v>
      </c>
      <c r="BP11" s="4">
        <v>325</v>
      </c>
      <c r="BQ11" s="4">
        <v>29</v>
      </c>
      <c r="BR11" s="4">
        <v>259</v>
      </c>
      <c r="BS11" s="4">
        <v>151</v>
      </c>
      <c r="BT11" s="4">
        <v>40</v>
      </c>
      <c r="BU11" s="4">
        <v>28</v>
      </c>
      <c r="BV11" s="4">
        <v>39</v>
      </c>
      <c r="BW11" s="4">
        <v>0</v>
      </c>
      <c r="BX11" s="4">
        <v>0</v>
      </c>
      <c r="BY11" s="4">
        <v>4</v>
      </c>
      <c r="BZ11" s="4">
        <v>14</v>
      </c>
      <c r="CA11" s="4">
        <v>8</v>
      </c>
      <c r="CB11" s="4">
        <v>34</v>
      </c>
      <c r="CC11" s="4">
        <v>7</v>
      </c>
      <c r="CD11" s="4">
        <v>21</v>
      </c>
      <c r="CE11" s="4">
        <v>26</v>
      </c>
      <c r="CF11" s="4">
        <v>38</v>
      </c>
      <c r="CG11" s="4">
        <f t="shared" si="13"/>
        <v>341</v>
      </c>
      <c r="CH11" s="4">
        <f t="shared" si="14"/>
        <v>363</v>
      </c>
      <c r="CI11" s="4">
        <f t="shared" si="15"/>
        <v>0</v>
      </c>
      <c r="CJ11" s="4">
        <f t="shared" si="16"/>
        <v>4</v>
      </c>
      <c r="CK11" s="4">
        <f t="shared" si="17"/>
        <v>12</v>
      </c>
      <c r="CL11" s="4">
        <f t="shared" si="18"/>
        <v>129</v>
      </c>
      <c r="CM11" s="4">
        <f t="shared" si="19"/>
        <v>58</v>
      </c>
      <c r="CN11" s="4">
        <f t="shared" si="20"/>
        <v>359</v>
      </c>
      <c r="CO11" s="4">
        <f t="shared" si="21"/>
        <v>36</v>
      </c>
      <c r="CP11" s="4">
        <f t="shared" si="22"/>
        <v>280</v>
      </c>
      <c r="CQ11" s="4">
        <f t="shared" si="23"/>
        <v>177</v>
      </c>
      <c r="CR11" s="20">
        <f t="shared" si="24"/>
        <v>78</v>
      </c>
    </row>
    <row r="12" spans="1:96" x14ac:dyDescent="0.25">
      <c r="A12" s="5" t="s">
        <v>24</v>
      </c>
      <c r="B12" s="5" t="s">
        <v>25</v>
      </c>
      <c r="C12" s="5">
        <v>70975</v>
      </c>
      <c r="D12" s="5">
        <v>54812</v>
      </c>
      <c r="E12" s="5">
        <v>2381</v>
      </c>
      <c r="F12" s="5">
        <v>10092</v>
      </c>
      <c r="G12" s="5">
        <v>10305</v>
      </c>
      <c r="H12" s="5">
        <v>560</v>
      </c>
      <c r="I12" s="5">
        <v>485</v>
      </c>
      <c r="J12" s="5">
        <v>252</v>
      </c>
      <c r="K12" s="5">
        <v>666</v>
      </c>
      <c r="L12" s="5">
        <v>622</v>
      </c>
      <c r="M12" s="5">
        <v>235</v>
      </c>
      <c r="N12" s="5">
        <v>317</v>
      </c>
      <c r="O12" s="5">
        <v>321</v>
      </c>
      <c r="P12" s="5">
        <v>0</v>
      </c>
      <c r="Q12" s="5">
        <v>1</v>
      </c>
      <c r="R12" s="5">
        <v>6</v>
      </c>
      <c r="S12" s="5">
        <v>65</v>
      </c>
      <c r="T12" s="5">
        <v>30</v>
      </c>
      <c r="U12" s="5">
        <v>22</v>
      </c>
      <c r="V12" s="5">
        <v>0</v>
      </c>
      <c r="W12" s="5"/>
      <c r="X12" s="5"/>
      <c r="Y12" s="5">
        <v>17</v>
      </c>
      <c r="Z12" s="5">
        <v>30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19">
        <f t="shared" si="0"/>
        <v>347</v>
      </c>
      <c r="AM12" s="19">
        <f t="shared" si="1"/>
        <v>321</v>
      </c>
      <c r="AN12" s="19">
        <f t="shared" si="2"/>
        <v>0</v>
      </c>
      <c r="AO12" s="19">
        <f t="shared" si="3"/>
        <v>1</v>
      </c>
      <c r="AP12" s="19">
        <f t="shared" si="4"/>
        <v>6</v>
      </c>
      <c r="AQ12" s="19">
        <f t="shared" si="5"/>
        <v>65</v>
      </c>
      <c r="AR12" s="19">
        <f t="shared" si="6"/>
        <v>30</v>
      </c>
      <c r="AS12" s="19">
        <f t="shared" si="7"/>
        <v>22</v>
      </c>
      <c r="AT12" s="19">
        <f t="shared" si="8"/>
        <v>0</v>
      </c>
      <c r="AU12" s="19">
        <f t="shared" si="9"/>
        <v>0</v>
      </c>
      <c r="AV12" s="19">
        <f t="shared" si="10"/>
        <v>0</v>
      </c>
      <c r="AW12" s="19">
        <f t="shared" si="11"/>
        <v>17</v>
      </c>
      <c r="AX12" s="5">
        <v>10670</v>
      </c>
      <c r="AY12" s="5">
        <v>10968</v>
      </c>
      <c r="AZ12" s="5">
        <v>1089</v>
      </c>
      <c r="BA12" s="5">
        <v>377</v>
      </c>
      <c r="BB12" s="5">
        <v>243</v>
      </c>
      <c r="BC12" s="5">
        <v>768</v>
      </c>
      <c r="BD12" s="5">
        <v>756</v>
      </c>
      <c r="BE12" s="5">
        <v>319</v>
      </c>
      <c r="BF12" s="5">
        <v>11127</v>
      </c>
      <c r="BG12" s="5">
        <v>4666</v>
      </c>
      <c r="BH12" s="5">
        <v>608</v>
      </c>
      <c r="BI12" s="5">
        <v>320</v>
      </c>
      <c r="BJ12" s="5">
        <v>351</v>
      </c>
      <c r="BK12" s="5">
        <v>0</v>
      </c>
      <c r="BL12" s="5">
        <v>1</v>
      </c>
      <c r="BM12" s="19">
        <v>4</v>
      </c>
      <c r="BN12" s="19">
        <v>67</v>
      </c>
      <c r="BO12" s="5">
        <v>20</v>
      </c>
      <c r="BP12" s="5">
        <v>343</v>
      </c>
      <c r="BQ12" s="5">
        <v>18</v>
      </c>
      <c r="BR12" s="5">
        <v>249</v>
      </c>
      <c r="BS12" s="5">
        <v>148</v>
      </c>
      <c r="BT12" s="5">
        <v>35</v>
      </c>
      <c r="BU12" s="5">
        <v>29</v>
      </c>
      <c r="BV12" s="5">
        <v>55</v>
      </c>
      <c r="BW12" s="5">
        <v>0</v>
      </c>
      <c r="BX12" s="5">
        <v>0</v>
      </c>
      <c r="BY12" s="5">
        <v>12</v>
      </c>
      <c r="BZ12" s="5">
        <v>27</v>
      </c>
      <c r="CA12" s="5">
        <v>4</v>
      </c>
      <c r="CB12" s="5">
        <v>44</v>
      </c>
      <c r="CC12" s="5">
        <v>12</v>
      </c>
      <c r="CD12" s="5">
        <v>19</v>
      </c>
      <c r="CE12" s="5">
        <v>28</v>
      </c>
      <c r="CF12" s="5">
        <v>10</v>
      </c>
      <c r="CG12" s="5">
        <f t="shared" si="13"/>
        <v>349</v>
      </c>
      <c r="CH12" s="5">
        <f t="shared" si="14"/>
        <v>406</v>
      </c>
      <c r="CI12" s="5">
        <f t="shared" si="15"/>
        <v>0</v>
      </c>
      <c r="CJ12" s="5">
        <f t="shared" si="16"/>
        <v>1</v>
      </c>
      <c r="CK12" s="5">
        <f t="shared" si="17"/>
        <v>16</v>
      </c>
      <c r="CL12" s="5">
        <f t="shared" si="18"/>
        <v>94</v>
      </c>
      <c r="CM12" s="5">
        <f t="shared" si="19"/>
        <v>24</v>
      </c>
      <c r="CN12" s="5">
        <f t="shared" si="20"/>
        <v>387</v>
      </c>
      <c r="CO12" s="5">
        <f t="shared" si="21"/>
        <v>30</v>
      </c>
      <c r="CP12" s="5">
        <f t="shared" si="22"/>
        <v>268</v>
      </c>
      <c r="CQ12" s="5">
        <f t="shared" si="23"/>
        <v>176</v>
      </c>
      <c r="CR12" s="19">
        <f t="shared" si="24"/>
        <v>45</v>
      </c>
    </row>
    <row r="13" spans="1:96" x14ac:dyDescent="0.25">
      <c r="A13" s="4" t="s">
        <v>26</v>
      </c>
      <c r="B13" s="4" t="s">
        <v>27</v>
      </c>
      <c r="C13" s="4">
        <v>55044</v>
      </c>
      <c r="D13" s="4">
        <v>41804</v>
      </c>
      <c r="E13" s="4">
        <v>1874</v>
      </c>
      <c r="F13" s="4">
        <v>5716</v>
      </c>
      <c r="G13" s="4">
        <v>5950</v>
      </c>
      <c r="H13" s="4">
        <v>167</v>
      </c>
      <c r="I13" s="4">
        <v>247</v>
      </c>
      <c r="J13" s="4">
        <v>178</v>
      </c>
      <c r="K13" s="4">
        <v>554</v>
      </c>
      <c r="L13" s="4">
        <v>581</v>
      </c>
      <c r="M13" s="4">
        <v>340</v>
      </c>
      <c r="N13" s="4">
        <v>316</v>
      </c>
      <c r="O13" s="4">
        <v>335</v>
      </c>
      <c r="P13" s="4">
        <v>0</v>
      </c>
      <c r="Q13" s="4">
        <v>1</v>
      </c>
      <c r="R13" s="4">
        <v>5</v>
      </c>
      <c r="S13" s="4">
        <v>114</v>
      </c>
      <c r="T13" s="4">
        <v>58</v>
      </c>
      <c r="U13" s="4">
        <v>28</v>
      </c>
      <c r="V13" s="4">
        <v>0</v>
      </c>
      <c r="W13" s="4"/>
      <c r="X13" s="4"/>
      <c r="Y13" s="4">
        <v>29</v>
      </c>
      <c r="Z13" s="4">
        <v>41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20">
        <f t="shared" si="0"/>
        <v>357</v>
      </c>
      <c r="AM13" s="20">
        <f t="shared" si="1"/>
        <v>335</v>
      </c>
      <c r="AN13" s="20">
        <f t="shared" si="2"/>
        <v>0</v>
      </c>
      <c r="AO13" s="20">
        <f t="shared" si="3"/>
        <v>1</v>
      </c>
      <c r="AP13" s="20">
        <f t="shared" si="4"/>
        <v>5</v>
      </c>
      <c r="AQ13" s="20">
        <f t="shared" si="5"/>
        <v>114</v>
      </c>
      <c r="AR13" s="20">
        <f t="shared" si="6"/>
        <v>58</v>
      </c>
      <c r="AS13" s="20">
        <f t="shared" si="7"/>
        <v>28</v>
      </c>
      <c r="AT13" s="20">
        <f t="shared" si="8"/>
        <v>0</v>
      </c>
      <c r="AU13" s="20">
        <f t="shared" si="9"/>
        <v>0</v>
      </c>
      <c r="AV13" s="20">
        <f t="shared" si="10"/>
        <v>0</v>
      </c>
      <c r="AW13" s="20">
        <f t="shared" si="11"/>
        <v>29</v>
      </c>
      <c r="AX13" s="4">
        <v>5950</v>
      </c>
      <c r="AY13" s="4">
        <v>6269</v>
      </c>
      <c r="AZ13" s="4">
        <v>448</v>
      </c>
      <c r="BA13" s="4">
        <v>115</v>
      </c>
      <c r="BB13" s="4">
        <v>191</v>
      </c>
      <c r="BC13" s="4">
        <v>701</v>
      </c>
      <c r="BD13" s="4">
        <v>632</v>
      </c>
      <c r="BE13" s="4">
        <v>371</v>
      </c>
      <c r="BF13" s="4">
        <v>6234</v>
      </c>
      <c r="BG13" s="4">
        <v>2469</v>
      </c>
      <c r="BH13" s="4">
        <v>306</v>
      </c>
      <c r="BI13" s="4">
        <v>310</v>
      </c>
      <c r="BJ13" s="4">
        <v>369</v>
      </c>
      <c r="BK13" s="4">
        <v>0</v>
      </c>
      <c r="BL13" s="4">
        <v>1</v>
      </c>
      <c r="BM13" s="4">
        <v>6</v>
      </c>
      <c r="BN13" s="4">
        <v>108</v>
      </c>
      <c r="BO13" s="4">
        <v>60</v>
      </c>
      <c r="BP13" s="4">
        <v>313</v>
      </c>
      <c r="BQ13" s="4">
        <v>31</v>
      </c>
      <c r="BR13" s="4">
        <v>259</v>
      </c>
      <c r="BS13" s="4">
        <v>127</v>
      </c>
      <c r="BT13" s="4">
        <v>61</v>
      </c>
      <c r="BU13" s="4">
        <v>43</v>
      </c>
      <c r="BV13" s="4">
        <v>74</v>
      </c>
      <c r="BW13" s="4">
        <v>0</v>
      </c>
      <c r="BX13" s="4">
        <v>0</v>
      </c>
      <c r="BY13" s="4">
        <v>10</v>
      </c>
      <c r="BZ13" s="4">
        <v>32</v>
      </c>
      <c r="CA13" s="4">
        <v>11</v>
      </c>
      <c r="CB13" s="4">
        <v>53</v>
      </c>
      <c r="CC13" s="4">
        <v>13</v>
      </c>
      <c r="CD13" s="4">
        <v>36</v>
      </c>
      <c r="CE13" s="4">
        <v>38</v>
      </c>
      <c r="CF13" s="4">
        <v>65</v>
      </c>
      <c r="CG13" s="4">
        <f t="shared" si="13"/>
        <v>353</v>
      </c>
      <c r="CH13" s="4">
        <f t="shared" si="14"/>
        <v>443</v>
      </c>
      <c r="CI13" s="4">
        <f t="shared" si="15"/>
        <v>0</v>
      </c>
      <c r="CJ13" s="4">
        <f t="shared" si="16"/>
        <v>1</v>
      </c>
      <c r="CK13" s="4">
        <f t="shared" si="17"/>
        <v>16</v>
      </c>
      <c r="CL13" s="4">
        <f t="shared" si="18"/>
        <v>140</v>
      </c>
      <c r="CM13" s="4">
        <f t="shared" si="19"/>
        <v>71</v>
      </c>
      <c r="CN13" s="4">
        <f t="shared" si="20"/>
        <v>366</v>
      </c>
      <c r="CO13" s="4">
        <f t="shared" si="21"/>
        <v>44</v>
      </c>
      <c r="CP13" s="4">
        <f t="shared" si="22"/>
        <v>295</v>
      </c>
      <c r="CQ13" s="4">
        <f t="shared" si="23"/>
        <v>165</v>
      </c>
      <c r="CR13" s="20">
        <f t="shared" si="24"/>
        <v>126</v>
      </c>
    </row>
    <row r="14" spans="1:96" x14ac:dyDescent="0.25">
      <c r="A14" s="5" t="s">
        <v>28</v>
      </c>
      <c r="B14" s="5" t="s">
        <v>29</v>
      </c>
      <c r="C14" s="5">
        <v>82980</v>
      </c>
      <c r="D14" s="5">
        <v>66517</v>
      </c>
      <c r="E14" s="5">
        <v>4317</v>
      </c>
      <c r="F14" s="5">
        <v>11191</v>
      </c>
      <c r="G14" s="5">
        <v>11714</v>
      </c>
      <c r="H14" s="5">
        <v>626</v>
      </c>
      <c r="I14" s="5">
        <v>620</v>
      </c>
      <c r="J14" s="5">
        <v>591</v>
      </c>
      <c r="K14" s="5">
        <v>1274</v>
      </c>
      <c r="L14" s="5">
        <v>1159</v>
      </c>
      <c r="M14" s="5">
        <v>732</v>
      </c>
      <c r="N14" s="5">
        <v>388</v>
      </c>
      <c r="O14" s="5">
        <v>413</v>
      </c>
      <c r="P14" s="5">
        <v>0</v>
      </c>
      <c r="Q14" s="5">
        <v>2</v>
      </c>
      <c r="R14" s="5">
        <v>3</v>
      </c>
      <c r="S14" s="5">
        <v>126</v>
      </c>
      <c r="T14" s="5">
        <v>34</v>
      </c>
      <c r="U14" s="5">
        <v>16</v>
      </c>
      <c r="V14" s="5">
        <v>0</v>
      </c>
      <c r="W14" s="5"/>
      <c r="X14" s="5"/>
      <c r="Y14" s="5">
        <v>49</v>
      </c>
      <c r="Z14" s="5">
        <v>51</v>
      </c>
      <c r="AA14" s="5">
        <v>0</v>
      </c>
      <c r="AB14" s="5">
        <v>0</v>
      </c>
      <c r="AC14" s="5">
        <v>2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19">
        <f t="shared" si="0"/>
        <v>439</v>
      </c>
      <c r="AM14" s="19">
        <f t="shared" si="1"/>
        <v>413</v>
      </c>
      <c r="AN14" s="19">
        <f t="shared" si="2"/>
        <v>0</v>
      </c>
      <c r="AO14" s="19">
        <f t="shared" si="3"/>
        <v>4</v>
      </c>
      <c r="AP14" s="19">
        <f t="shared" si="4"/>
        <v>3</v>
      </c>
      <c r="AQ14" s="19">
        <f t="shared" si="5"/>
        <v>126</v>
      </c>
      <c r="AR14" s="19">
        <f t="shared" si="6"/>
        <v>34</v>
      </c>
      <c r="AS14" s="19">
        <f t="shared" si="7"/>
        <v>16</v>
      </c>
      <c r="AT14" s="19">
        <f t="shared" si="8"/>
        <v>0</v>
      </c>
      <c r="AU14" s="19">
        <f t="shared" si="9"/>
        <v>0</v>
      </c>
      <c r="AV14" s="19">
        <f t="shared" si="10"/>
        <v>0</v>
      </c>
      <c r="AW14" s="19">
        <f t="shared" si="11"/>
        <v>49</v>
      </c>
      <c r="AX14" s="5">
        <v>11535</v>
      </c>
      <c r="AY14" s="5">
        <v>12234</v>
      </c>
      <c r="AZ14" s="5">
        <v>1303</v>
      </c>
      <c r="BA14" s="5">
        <v>377</v>
      </c>
      <c r="BB14" s="5">
        <v>670</v>
      </c>
      <c r="BC14" s="5">
        <v>1439</v>
      </c>
      <c r="BD14" s="5">
        <v>1216</v>
      </c>
      <c r="BE14" s="5">
        <v>773</v>
      </c>
      <c r="BF14" s="5">
        <v>11919</v>
      </c>
      <c r="BG14" s="5">
        <v>5574</v>
      </c>
      <c r="BH14" s="5">
        <v>565</v>
      </c>
      <c r="BI14" s="5">
        <v>405</v>
      </c>
      <c r="BJ14" s="5">
        <v>451</v>
      </c>
      <c r="BK14" s="5">
        <v>0</v>
      </c>
      <c r="BL14" s="5">
        <v>2</v>
      </c>
      <c r="BM14" s="19">
        <v>3</v>
      </c>
      <c r="BN14" s="19">
        <v>124</v>
      </c>
      <c r="BO14" s="5">
        <v>37</v>
      </c>
      <c r="BP14" s="5">
        <v>409</v>
      </c>
      <c r="BQ14" s="5">
        <v>24</v>
      </c>
      <c r="BR14" s="5">
        <v>361</v>
      </c>
      <c r="BS14" s="5">
        <v>195</v>
      </c>
      <c r="BT14" s="5">
        <v>83</v>
      </c>
      <c r="BU14" s="5">
        <v>54</v>
      </c>
      <c r="BV14" s="5">
        <v>82</v>
      </c>
      <c r="BW14" s="5">
        <v>0</v>
      </c>
      <c r="BX14" s="5">
        <v>3</v>
      </c>
      <c r="BY14" s="5">
        <v>6</v>
      </c>
      <c r="BZ14" s="5">
        <v>33</v>
      </c>
      <c r="CA14" s="5">
        <v>12</v>
      </c>
      <c r="CB14" s="5">
        <v>34</v>
      </c>
      <c r="CC14" s="5">
        <v>12</v>
      </c>
      <c r="CD14" s="5">
        <v>49</v>
      </c>
      <c r="CE14" s="5">
        <v>46</v>
      </c>
      <c r="CF14" s="5">
        <v>32</v>
      </c>
      <c r="CG14" s="5">
        <f t="shared" si="13"/>
        <v>459</v>
      </c>
      <c r="CH14" s="5">
        <f t="shared" si="14"/>
        <v>533</v>
      </c>
      <c r="CI14" s="5">
        <f t="shared" si="15"/>
        <v>0</v>
      </c>
      <c r="CJ14" s="5">
        <f t="shared" si="16"/>
        <v>5</v>
      </c>
      <c r="CK14" s="5">
        <f t="shared" si="17"/>
        <v>9</v>
      </c>
      <c r="CL14" s="5">
        <f t="shared" si="18"/>
        <v>157</v>
      </c>
      <c r="CM14" s="5">
        <f t="shared" si="19"/>
        <v>49</v>
      </c>
      <c r="CN14" s="5">
        <f t="shared" si="20"/>
        <v>443</v>
      </c>
      <c r="CO14" s="5">
        <f t="shared" si="21"/>
        <v>36</v>
      </c>
      <c r="CP14" s="5">
        <f t="shared" si="22"/>
        <v>410</v>
      </c>
      <c r="CQ14" s="5">
        <f t="shared" si="23"/>
        <v>241</v>
      </c>
      <c r="CR14" s="19">
        <f t="shared" si="24"/>
        <v>115</v>
      </c>
    </row>
    <row r="15" spans="1:96" x14ac:dyDescent="0.25">
      <c r="A15" s="4" t="s">
        <v>30</v>
      </c>
      <c r="B15" s="4" t="s">
        <v>31</v>
      </c>
      <c r="C15" s="4">
        <v>18486</v>
      </c>
      <c r="D15" s="4">
        <v>14806</v>
      </c>
      <c r="E15" s="4">
        <v>944</v>
      </c>
      <c r="F15" s="4">
        <v>3610</v>
      </c>
      <c r="G15" s="4">
        <v>3717</v>
      </c>
      <c r="H15" s="4">
        <v>30</v>
      </c>
      <c r="I15" s="4">
        <v>97</v>
      </c>
      <c r="J15" s="4">
        <v>17</v>
      </c>
      <c r="K15" s="4">
        <v>221</v>
      </c>
      <c r="L15" s="4">
        <v>197</v>
      </c>
      <c r="M15" s="4">
        <v>120</v>
      </c>
      <c r="N15" s="4">
        <v>97</v>
      </c>
      <c r="O15" s="4">
        <v>101</v>
      </c>
      <c r="P15" s="4">
        <v>0</v>
      </c>
      <c r="Q15" s="4">
        <v>0</v>
      </c>
      <c r="R15" s="4">
        <v>0</v>
      </c>
      <c r="S15" s="4">
        <v>13</v>
      </c>
      <c r="T15" s="4">
        <v>3</v>
      </c>
      <c r="U15" s="4">
        <v>1</v>
      </c>
      <c r="V15" s="4">
        <v>0</v>
      </c>
      <c r="W15" s="4"/>
      <c r="X15" s="4"/>
      <c r="Y15" s="4">
        <v>6</v>
      </c>
      <c r="Z15" s="4">
        <v>1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20">
        <f t="shared" si="0"/>
        <v>98</v>
      </c>
      <c r="AM15" s="20">
        <f t="shared" si="1"/>
        <v>101</v>
      </c>
      <c r="AN15" s="20">
        <f t="shared" si="2"/>
        <v>0</v>
      </c>
      <c r="AO15" s="20">
        <f t="shared" si="3"/>
        <v>0</v>
      </c>
      <c r="AP15" s="20">
        <f t="shared" si="4"/>
        <v>0</v>
      </c>
      <c r="AQ15" s="20">
        <f t="shared" si="5"/>
        <v>13</v>
      </c>
      <c r="AR15" s="20">
        <f t="shared" si="6"/>
        <v>3</v>
      </c>
      <c r="AS15" s="20">
        <f t="shared" si="7"/>
        <v>1</v>
      </c>
      <c r="AT15" s="20">
        <f t="shared" si="8"/>
        <v>0</v>
      </c>
      <c r="AU15" s="20">
        <f t="shared" si="9"/>
        <v>0</v>
      </c>
      <c r="AV15" s="20">
        <f t="shared" si="10"/>
        <v>0</v>
      </c>
      <c r="AW15" s="20">
        <f t="shared" si="11"/>
        <v>6</v>
      </c>
      <c r="AX15" s="4">
        <v>3691</v>
      </c>
      <c r="AY15" s="4">
        <v>3818</v>
      </c>
      <c r="AZ15" s="4">
        <v>151</v>
      </c>
      <c r="BA15" s="4">
        <v>42</v>
      </c>
      <c r="BB15" s="4">
        <v>15</v>
      </c>
      <c r="BC15" s="4">
        <v>237</v>
      </c>
      <c r="BD15" s="4">
        <v>195</v>
      </c>
      <c r="BE15" s="4">
        <v>118</v>
      </c>
      <c r="BF15" s="4">
        <v>3673</v>
      </c>
      <c r="BG15" s="4">
        <v>1061</v>
      </c>
      <c r="BH15" s="4">
        <v>683</v>
      </c>
      <c r="BI15" s="4">
        <v>100</v>
      </c>
      <c r="BJ15" s="4">
        <v>105</v>
      </c>
      <c r="BK15" s="4">
        <v>0</v>
      </c>
      <c r="BL15" s="4">
        <v>0</v>
      </c>
      <c r="BM15" s="4">
        <v>0</v>
      </c>
      <c r="BN15" s="4">
        <v>13</v>
      </c>
      <c r="BO15" s="4">
        <v>2</v>
      </c>
      <c r="BP15" s="4">
        <v>102</v>
      </c>
      <c r="BQ15" s="4">
        <v>2</v>
      </c>
      <c r="BR15" s="4">
        <v>77</v>
      </c>
      <c r="BS15" s="4">
        <v>86</v>
      </c>
      <c r="BT15" s="4">
        <v>6</v>
      </c>
      <c r="BU15" s="4">
        <v>1</v>
      </c>
      <c r="BV15" s="4">
        <v>1</v>
      </c>
      <c r="BW15" s="4">
        <v>0</v>
      </c>
      <c r="BX15" s="4">
        <v>0</v>
      </c>
      <c r="BY15" s="4">
        <v>0</v>
      </c>
      <c r="BZ15" s="4">
        <v>1</v>
      </c>
      <c r="CA15" s="4">
        <v>0</v>
      </c>
      <c r="CB15" s="4">
        <v>1</v>
      </c>
      <c r="CC15" s="4">
        <v>0</v>
      </c>
      <c r="CD15" s="4">
        <v>1</v>
      </c>
      <c r="CE15" s="4">
        <v>1</v>
      </c>
      <c r="CF15" s="4">
        <v>0</v>
      </c>
      <c r="CG15" s="4">
        <f t="shared" si="13"/>
        <v>101</v>
      </c>
      <c r="CH15" s="4">
        <f t="shared" si="14"/>
        <v>106</v>
      </c>
      <c r="CI15" s="4">
        <f t="shared" si="15"/>
        <v>0</v>
      </c>
      <c r="CJ15" s="4">
        <f t="shared" si="16"/>
        <v>0</v>
      </c>
      <c r="CK15" s="4">
        <f t="shared" si="17"/>
        <v>0</v>
      </c>
      <c r="CL15" s="4">
        <f t="shared" si="18"/>
        <v>14</v>
      </c>
      <c r="CM15" s="4">
        <f t="shared" si="19"/>
        <v>2</v>
      </c>
      <c r="CN15" s="4">
        <f t="shared" si="20"/>
        <v>103</v>
      </c>
      <c r="CO15" s="4">
        <f t="shared" si="21"/>
        <v>2</v>
      </c>
      <c r="CP15" s="4">
        <f t="shared" si="22"/>
        <v>78</v>
      </c>
      <c r="CQ15" s="4">
        <f t="shared" si="23"/>
        <v>87</v>
      </c>
      <c r="CR15" s="20">
        <f t="shared" si="24"/>
        <v>6</v>
      </c>
    </row>
    <row r="16" spans="1:96" x14ac:dyDescent="0.25">
      <c r="A16" s="5" t="s">
        <v>32</v>
      </c>
      <c r="B16" s="5" t="s">
        <v>33</v>
      </c>
      <c r="C16" s="5">
        <v>45749</v>
      </c>
      <c r="D16" s="5">
        <v>36111</v>
      </c>
      <c r="E16" s="5">
        <v>2085</v>
      </c>
      <c r="F16" s="5">
        <v>5637</v>
      </c>
      <c r="G16" s="5">
        <v>5900</v>
      </c>
      <c r="H16" s="5">
        <v>167</v>
      </c>
      <c r="I16" s="5">
        <v>264</v>
      </c>
      <c r="J16" s="5">
        <v>162</v>
      </c>
      <c r="K16" s="5">
        <v>520</v>
      </c>
      <c r="L16" s="5">
        <v>495</v>
      </c>
      <c r="M16" s="5">
        <v>394</v>
      </c>
      <c r="N16" s="5">
        <v>306</v>
      </c>
      <c r="O16" s="5">
        <v>321</v>
      </c>
      <c r="P16" s="5">
        <v>0</v>
      </c>
      <c r="Q16" s="5">
        <v>0</v>
      </c>
      <c r="R16" s="5">
        <v>1</v>
      </c>
      <c r="S16" s="5">
        <v>72</v>
      </c>
      <c r="T16" s="5">
        <v>9</v>
      </c>
      <c r="U16" s="5">
        <v>11</v>
      </c>
      <c r="V16" s="5">
        <v>0</v>
      </c>
      <c r="W16" s="5"/>
      <c r="X16" s="5"/>
      <c r="Y16" s="5">
        <v>12</v>
      </c>
      <c r="Z16" s="5">
        <v>27</v>
      </c>
      <c r="AA16" s="5">
        <v>0</v>
      </c>
      <c r="AB16" s="5">
        <v>0</v>
      </c>
      <c r="AC16" s="5">
        <v>1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19">
        <f t="shared" si="0"/>
        <v>333</v>
      </c>
      <c r="AM16" s="19">
        <f t="shared" si="1"/>
        <v>321</v>
      </c>
      <c r="AN16" s="19">
        <f t="shared" si="2"/>
        <v>0</v>
      </c>
      <c r="AO16" s="19">
        <f t="shared" si="3"/>
        <v>1</v>
      </c>
      <c r="AP16" s="19">
        <f t="shared" si="4"/>
        <v>1</v>
      </c>
      <c r="AQ16" s="19">
        <f t="shared" si="5"/>
        <v>72</v>
      </c>
      <c r="AR16" s="19">
        <f t="shared" si="6"/>
        <v>9</v>
      </c>
      <c r="AS16" s="19">
        <f t="shared" si="7"/>
        <v>11</v>
      </c>
      <c r="AT16" s="19">
        <f t="shared" si="8"/>
        <v>0</v>
      </c>
      <c r="AU16" s="19">
        <f t="shared" si="9"/>
        <v>0</v>
      </c>
      <c r="AV16" s="19">
        <f t="shared" si="10"/>
        <v>0</v>
      </c>
      <c r="AW16" s="19">
        <f t="shared" si="11"/>
        <v>12</v>
      </c>
      <c r="AX16" s="5">
        <v>5922</v>
      </c>
      <c r="AY16" s="5">
        <v>6210</v>
      </c>
      <c r="AZ16" s="5">
        <v>437</v>
      </c>
      <c r="BA16" s="5">
        <v>175</v>
      </c>
      <c r="BB16" s="5">
        <v>158</v>
      </c>
      <c r="BC16" s="5">
        <v>613</v>
      </c>
      <c r="BD16" s="5">
        <v>478</v>
      </c>
      <c r="BE16" s="5">
        <v>390</v>
      </c>
      <c r="BF16" s="5">
        <v>6148</v>
      </c>
      <c r="BG16" s="5">
        <v>2279</v>
      </c>
      <c r="BH16" s="5">
        <v>189</v>
      </c>
      <c r="BI16" s="5">
        <v>317</v>
      </c>
      <c r="BJ16" s="5">
        <v>340</v>
      </c>
      <c r="BK16" s="5">
        <v>0</v>
      </c>
      <c r="BL16" s="5">
        <v>1</v>
      </c>
      <c r="BM16" s="19">
        <v>0</v>
      </c>
      <c r="BN16" s="19">
        <v>68</v>
      </c>
      <c r="BO16" s="5">
        <v>17</v>
      </c>
      <c r="BP16" s="5">
        <v>332</v>
      </c>
      <c r="BQ16" s="5">
        <v>13</v>
      </c>
      <c r="BR16" s="5">
        <v>258</v>
      </c>
      <c r="BS16" s="5">
        <v>119</v>
      </c>
      <c r="BT16" s="5">
        <v>28</v>
      </c>
      <c r="BU16" s="5">
        <v>29</v>
      </c>
      <c r="BV16" s="5">
        <v>54</v>
      </c>
      <c r="BW16" s="5">
        <v>0</v>
      </c>
      <c r="BX16" s="5">
        <v>0</v>
      </c>
      <c r="BY16" s="5">
        <v>0</v>
      </c>
      <c r="BZ16" s="5">
        <v>7</v>
      </c>
      <c r="CA16" s="5">
        <v>3</v>
      </c>
      <c r="CB16" s="5">
        <v>27</v>
      </c>
      <c r="CC16" s="5">
        <v>4</v>
      </c>
      <c r="CD16" s="5">
        <v>18</v>
      </c>
      <c r="CE16" s="5">
        <v>23</v>
      </c>
      <c r="CF16" s="5">
        <v>5</v>
      </c>
      <c r="CG16" s="5">
        <f t="shared" si="13"/>
        <v>346</v>
      </c>
      <c r="CH16" s="5">
        <f t="shared" si="14"/>
        <v>394</v>
      </c>
      <c r="CI16" s="5">
        <f t="shared" si="15"/>
        <v>0</v>
      </c>
      <c r="CJ16" s="5">
        <f t="shared" si="16"/>
        <v>1</v>
      </c>
      <c r="CK16" s="5">
        <f t="shared" si="17"/>
        <v>0</v>
      </c>
      <c r="CL16" s="5">
        <f t="shared" si="18"/>
        <v>75</v>
      </c>
      <c r="CM16" s="5">
        <f t="shared" si="19"/>
        <v>20</v>
      </c>
      <c r="CN16" s="5">
        <f t="shared" si="20"/>
        <v>359</v>
      </c>
      <c r="CO16" s="5">
        <f t="shared" si="21"/>
        <v>17</v>
      </c>
      <c r="CP16" s="5">
        <f t="shared" si="22"/>
        <v>276</v>
      </c>
      <c r="CQ16" s="5">
        <f t="shared" si="23"/>
        <v>142</v>
      </c>
      <c r="CR16" s="19">
        <f t="shared" si="24"/>
        <v>33</v>
      </c>
    </row>
    <row r="17" spans="1:96" x14ac:dyDescent="0.25">
      <c r="A17" s="4" t="s">
        <v>34</v>
      </c>
      <c r="B17" s="4" t="s">
        <v>35</v>
      </c>
      <c r="C17" s="4">
        <v>43888</v>
      </c>
      <c r="D17" s="4">
        <v>32516</v>
      </c>
      <c r="E17" s="4">
        <v>1167</v>
      </c>
      <c r="F17" s="4">
        <v>4147</v>
      </c>
      <c r="G17" s="4">
        <v>4205</v>
      </c>
      <c r="H17" s="4">
        <v>201</v>
      </c>
      <c r="I17" s="4">
        <v>157</v>
      </c>
      <c r="J17" s="4">
        <v>156</v>
      </c>
      <c r="K17" s="4">
        <v>317</v>
      </c>
      <c r="L17" s="4">
        <v>289</v>
      </c>
      <c r="M17" s="4">
        <v>243</v>
      </c>
      <c r="N17" s="4">
        <v>228</v>
      </c>
      <c r="O17" s="4">
        <v>236</v>
      </c>
      <c r="P17" s="4">
        <v>0</v>
      </c>
      <c r="Q17" s="4">
        <v>0</v>
      </c>
      <c r="R17" s="4">
        <v>12</v>
      </c>
      <c r="S17" s="4">
        <v>81</v>
      </c>
      <c r="T17" s="4">
        <v>43</v>
      </c>
      <c r="U17" s="4">
        <v>24</v>
      </c>
      <c r="V17" s="4">
        <v>0</v>
      </c>
      <c r="W17" s="4"/>
      <c r="X17" s="4"/>
      <c r="Y17" s="4">
        <v>29</v>
      </c>
      <c r="Z17" s="4">
        <v>21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20">
        <f t="shared" si="0"/>
        <v>249</v>
      </c>
      <c r="AM17" s="20">
        <f t="shared" si="1"/>
        <v>236</v>
      </c>
      <c r="AN17" s="20">
        <f t="shared" si="2"/>
        <v>0</v>
      </c>
      <c r="AO17" s="20">
        <f t="shared" si="3"/>
        <v>0</v>
      </c>
      <c r="AP17" s="20">
        <f t="shared" si="4"/>
        <v>12</v>
      </c>
      <c r="AQ17" s="20">
        <f t="shared" si="5"/>
        <v>81</v>
      </c>
      <c r="AR17" s="20">
        <f t="shared" si="6"/>
        <v>43</v>
      </c>
      <c r="AS17" s="20">
        <f t="shared" si="7"/>
        <v>24</v>
      </c>
      <c r="AT17" s="20">
        <f t="shared" si="8"/>
        <v>0</v>
      </c>
      <c r="AU17" s="20">
        <f t="shared" si="9"/>
        <v>0</v>
      </c>
      <c r="AV17" s="20">
        <f t="shared" si="10"/>
        <v>0</v>
      </c>
      <c r="AW17" s="20">
        <f t="shared" si="11"/>
        <v>29</v>
      </c>
      <c r="AX17" s="4">
        <v>4413</v>
      </c>
      <c r="AY17" s="4">
        <v>4504</v>
      </c>
      <c r="AZ17" s="4">
        <v>448</v>
      </c>
      <c r="BA17" s="4">
        <v>95</v>
      </c>
      <c r="BB17" s="4">
        <v>148</v>
      </c>
      <c r="BC17" s="4">
        <v>364</v>
      </c>
      <c r="BD17" s="4">
        <v>281</v>
      </c>
      <c r="BE17" s="4">
        <v>250</v>
      </c>
      <c r="BF17" s="4">
        <v>4521</v>
      </c>
      <c r="BG17" s="4">
        <v>2214</v>
      </c>
      <c r="BH17" s="4">
        <v>226</v>
      </c>
      <c r="BI17" s="4">
        <v>236</v>
      </c>
      <c r="BJ17" s="4">
        <v>247</v>
      </c>
      <c r="BK17" s="4">
        <v>0</v>
      </c>
      <c r="BL17" s="4">
        <v>1</v>
      </c>
      <c r="BM17" s="4">
        <v>5</v>
      </c>
      <c r="BN17" s="4">
        <v>68</v>
      </c>
      <c r="BO17" s="4">
        <v>17</v>
      </c>
      <c r="BP17" s="4">
        <v>245</v>
      </c>
      <c r="BQ17" s="4">
        <v>15</v>
      </c>
      <c r="BR17" s="4">
        <v>189</v>
      </c>
      <c r="BS17" s="4">
        <v>104</v>
      </c>
      <c r="BT17" s="4">
        <v>34</v>
      </c>
      <c r="BU17" s="4">
        <v>21</v>
      </c>
      <c r="BV17" s="4">
        <v>34</v>
      </c>
      <c r="BW17" s="4">
        <v>0</v>
      </c>
      <c r="BX17" s="4">
        <v>0</v>
      </c>
      <c r="BY17" s="4">
        <v>1</v>
      </c>
      <c r="BZ17" s="4">
        <v>10</v>
      </c>
      <c r="CA17" s="4">
        <v>1</v>
      </c>
      <c r="CB17" s="4">
        <v>17</v>
      </c>
      <c r="CC17" s="4">
        <v>5</v>
      </c>
      <c r="CD17" s="4">
        <v>15</v>
      </c>
      <c r="CE17" s="4">
        <v>17</v>
      </c>
      <c r="CF17" s="4">
        <v>22</v>
      </c>
      <c r="CG17" s="4">
        <f t="shared" si="13"/>
        <v>257</v>
      </c>
      <c r="CH17" s="4">
        <f t="shared" si="14"/>
        <v>281</v>
      </c>
      <c r="CI17" s="4">
        <f t="shared" si="15"/>
        <v>0</v>
      </c>
      <c r="CJ17" s="4">
        <f t="shared" si="16"/>
        <v>1</v>
      </c>
      <c r="CK17" s="4">
        <f t="shared" si="17"/>
        <v>6</v>
      </c>
      <c r="CL17" s="4">
        <f t="shared" si="18"/>
        <v>78</v>
      </c>
      <c r="CM17" s="4">
        <f t="shared" si="19"/>
        <v>18</v>
      </c>
      <c r="CN17" s="4">
        <f t="shared" si="20"/>
        <v>262</v>
      </c>
      <c r="CO17" s="4">
        <f t="shared" si="21"/>
        <v>20</v>
      </c>
      <c r="CP17" s="4">
        <f t="shared" si="22"/>
        <v>204</v>
      </c>
      <c r="CQ17" s="4">
        <f t="shared" si="23"/>
        <v>121</v>
      </c>
      <c r="CR17" s="20">
        <f t="shared" si="24"/>
        <v>56</v>
      </c>
    </row>
    <row r="18" spans="1:96" x14ac:dyDescent="0.25">
      <c r="A18" s="5" t="s">
        <v>36</v>
      </c>
      <c r="B18" s="5" t="s">
        <v>37</v>
      </c>
      <c r="C18" s="5">
        <v>33008</v>
      </c>
      <c r="D18" s="5">
        <v>26385</v>
      </c>
      <c r="E18" s="5">
        <v>1213</v>
      </c>
      <c r="F18" s="5">
        <v>4844</v>
      </c>
      <c r="G18" s="5">
        <v>4951</v>
      </c>
      <c r="H18" s="5">
        <v>344</v>
      </c>
      <c r="I18" s="5">
        <v>241</v>
      </c>
      <c r="J18" s="5">
        <v>102</v>
      </c>
      <c r="K18" s="5">
        <v>492</v>
      </c>
      <c r="L18" s="5">
        <v>388</v>
      </c>
      <c r="M18" s="5">
        <v>248</v>
      </c>
      <c r="N18" s="5">
        <v>241</v>
      </c>
      <c r="O18" s="5">
        <v>252</v>
      </c>
      <c r="P18" s="5">
        <v>0</v>
      </c>
      <c r="Q18" s="5">
        <v>0</v>
      </c>
      <c r="R18" s="5">
        <v>4</v>
      </c>
      <c r="S18" s="5">
        <v>60</v>
      </c>
      <c r="T18" s="5">
        <v>11</v>
      </c>
      <c r="U18" s="5">
        <v>21</v>
      </c>
      <c r="V18" s="5">
        <v>0</v>
      </c>
      <c r="W18" s="5"/>
      <c r="X18" s="5"/>
      <c r="Y18" s="5">
        <v>16</v>
      </c>
      <c r="Z18" s="5">
        <v>18</v>
      </c>
      <c r="AA18" s="5">
        <v>0</v>
      </c>
      <c r="AB18" s="5">
        <v>0</v>
      </c>
      <c r="AC18" s="5">
        <v>3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19">
        <f t="shared" si="0"/>
        <v>259</v>
      </c>
      <c r="AM18" s="19">
        <f t="shared" si="1"/>
        <v>252</v>
      </c>
      <c r="AN18" s="19">
        <f t="shared" si="2"/>
        <v>0</v>
      </c>
      <c r="AO18" s="19">
        <f t="shared" si="3"/>
        <v>3</v>
      </c>
      <c r="AP18" s="19">
        <f t="shared" si="4"/>
        <v>4</v>
      </c>
      <c r="AQ18" s="19">
        <f t="shared" si="5"/>
        <v>60</v>
      </c>
      <c r="AR18" s="19">
        <f t="shared" si="6"/>
        <v>11</v>
      </c>
      <c r="AS18" s="19">
        <f t="shared" si="7"/>
        <v>21</v>
      </c>
      <c r="AT18" s="19">
        <f t="shared" si="8"/>
        <v>0</v>
      </c>
      <c r="AU18" s="19">
        <f t="shared" si="9"/>
        <v>0</v>
      </c>
      <c r="AV18" s="19">
        <f t="shared" si="10"/>
        <v>0</v>
      </c>
      <c r="AW18" s="19">
        <f t="shared" si="11"/>
        <v>16</v>
      </c>
      <c r="AX18" s="5">
        <v>5105</v>
      </c>
      <c r="AY18" s="5">
        <v>5257</v>
      </c>
      <c r="AZ18" s="5">
        <v>621</v>
      </c>
      <c r="BA18" s="5">
        <v>151</v>
      </c>
      <c r="BB18" s="5">
        <v>105</v>
      </c>
      <c r="BC18" s="5">
        <v>594</v>
      </c>
      <c r="BD18" s="5">
        <v>416</v>
      </c>
      <c r="BE18" s="5">
        <v>280</v>
      </c>
      <c r="BF18" s="5">
        <v>5126</v>
      </c>
      <c r="BG18" s="5">
        <v>2459</v>
      </c>
      <c r="BH18" s="5">
        <v>182</v>
      </c>
      <c r="BI18" s="5">
        <v>250</v>
      </c>
      <c r="BJ18" s="5">
        <v>268</v>
      </c>
      <c r="BK18" s="5">
        <v>0</v>
      </c>
      <c r="BL18" s="5">
        <v>0</v>
      </c>
      <c r="BM18" s="19">
        <v>6</v>
      </c>
      <c r="BN18" s="19">
        <v>62</v>
      </c>
      <c r="BO18" s="5">
        <v>21</v>
      </c>
      <c r="BP18" s="5">
        <v>270</v>
      </c>
      <c r="BQ18" s="5">
        <v>13</v>
      </c>
      <c r="BR18" s="5">
        <v>204</v>
      </c>
      <c r="BS18" s="5">
        <v>109</v>
      </c>
      <c r="BT18" s="5">
        <v>26</v>
      </c>
      <c r="BU18" s="5">
        <v>19</v>
      </c>
      <c r="BV18" s="5">
        <v>33</v>
      </c>
      <c r="BW18" s="5">
        <v>0</v>
      </c>
      <c r="BX18" s="5">
        <v>6</v>
      </c>
      <c r="BY18" s="5">
        <v>5</v>
      </c>
      <c r="BZ18" s="5">
        <v>15</v>
      </c>
      <c r="CA18" s="5">
        <v>7</v>
      </c>
      <c r="CB18" s="5">
        <v>23</v>
      </c>
      <c r="CC18" s="5">
        <v>4</v>
      </c>
      <c r="CD18" s="5">
        <v>16</v>
      </c>
      <c r="CE18" s="5">
        <v>17</v>
      </c>
      <c r="CF18" s="5">
        <v>45</v>
      </c>
      <c r="CG18" s="5">
        <f t="shared" si="13"/>
        <v>269</v>
      </c>
      <c r="CH18" s="5">
        <f t="shared" si="14"/>
        <v>301</v>
      </c>
      <c r="CI18" s="5">
        <f t="shared" si="15"/>
        <v>0</v>
      </c>
      <c r="CJ18" s="5">
        <f t="shared" si="16"/>
        <v>6</v>
      </c>
      <c r="CK18" s="5">
        <f t="shared" si="17"/>
        <v>11</v>
      </c>
      <c r="CL18" s="5">
        <f t="shared" si="18"/>
        <v>77</v>
      </c>
      <c r="CM18" s="5">
        <f t="shared" si="19"/>
        <v>28</v>
      </c>
      <c r="CN18" s="5">
        <f t="shared" si="20"/>
        <v>293</v>
      </c>
      <c r="CO18" s="5">
        <f t="shared" si="21"/>
        <v>17</v>
      </c>
      <c r="CP18" s="5">
        <f t="shared" si="22"/>
        <v>220</v>
      </c>
      <c r="CQ18" s="5">
        <f t="shared" si="23"/>
        <v>126</v>
      </c>
      <c r="CR18" s="19">
        <f t="shared" si="24"/>
        <v>71</v>
      </c>
    </row>
    <row r="19" spans="1:96" x14ac:dyDescent="0.25">
      <c r="A19" s="4" t="s">
        <v>38</v>
      </c>
      <c r="B19" s="4" t="s">
        <v>39</v>
      </c>
      <c r="C19" s="4">
        <v>40664</v>
      </c>
      <c r="D19" s="4">
        <v>31671</v>
      </c>
      <c r="E19" s="4">
        <v>1087</v>
      </c>
      <c r="F19" s="4">
        <v>5790</v>
      </c>
      <c r="G19" s="4">
        <v>5977</v>
      </c>
      <c r="H19" s="4">
        <v>190</v>
      </c>
      <c r="I19" s="4">
        <v>204</v>
      </c>
      <c r="J19" s="4">
        <v>139</v>
      </c>
      <c r="K19" s="4">
        <v>468</v>
      </c>
      <c r="L19" s="4">
        <v>306</v>
      </c>
      <c r="M19" s="4">
        <v>217</v>
      </c>
      <c r="N19" s="4">
        <v>236</v>
      </c>
      <c r="O19" s="4">
        <v>239</v>
      </c>
      <c r="P19" s="4">
        <v>0</v>
      </c>
      <c r="Q19" s="4">
        <v>0</v>
      </c>
      <c r="R19" s="4">
        <v>0</v>
      </c>
      <c r="S19" s="4">
        <v>122</v>
      </c>
      <c r="T19" s="4">
        <v>24</v>
      </c>
      <c r="U19" s="4">
        <v>29</v>
      </c>
      <c r="V19" s="4">
        <v>0</v>
      </c>
      <c r="W19" s="4"/>
      <c r="X19" s="4"/>
      <c r="Y19" s="4">
        <v>17</v>
      </c>
      <c r="Z19" s="4">
        <v>13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20">
        <f t="shared" si="0"/>
        <v>249</v>
      </c>
      <c r="AM19" s="20">
        <f t="shared" si="1"/>
        <v>239</v>
      </c>
      <c r="AN19" s="20">
        <f t="shared" si="2"/>
        <v>0</v>
      </c>
      <c r="AO19" s="20">
        <f t="shared" si="3"/>
        <v>0</v>
      </c>
      <c r="AP19" s="20">
        <f t="shared" si="4"/>
        <v>0</v>
      </c>
      <c r="AQ19" s="20">
        <f t="shared" si="5"/>
        <v>122</v>
      </c>
      <c r="AR19" s="20">
        <f t="shared" si="6"/>
        <v>24</v>
      </c>
      <c r="AS19" s="20">
        <f t="shared" si="7"/>
        <v>29</v>
      </c>
      <c r="AT19" s="20">
        <f t="shared" si="8"/>
        <v>0</v>
      </c>
      <c r="AU19" s="20">
        <f t="shared" si="9"/>
        <v>0</v>
      </c>
      <c r="AV19" s="20">
        <f t="shared" si="10"/>
        <v>0</v>
      </c>
      <c r="AW19" s="20">
        <f t="shared" si="11"/>
        <v>17</v>
      </c>
      <c r="AX19" s="4">
        <v>6091</v>
      </c>
      <c r="AY19" s="4">
        <v>6305</v>
      </c>
      <c r="AZ19" s="4">
        <v>447</v>
      </c>
      <c r="BA19" s="4">
        <v>98</v>
      </c>
      <c r="BB19" s="4">
        <v>147</v>
      </c>
      <c r="BC19" s="4">
        <v>625</v>
      </c>
      <c r="BD19" s="4">
        <v>387</v>
      </c>
      <c r="BE19" s="4">
        <v>238</v>
      </c>
      <c r="BF19" s="4">
        <v>6156</v>
      </c>
      <c r="BG19" s="4">
        <v>2127</v>
      </c>
      <c r="BH19" s="4">
        <v>219</v>
      </c>
      <c r="BI19" s="4">
        <v>241</v>
      </c>
      <c r="BJ19" s="4">
        <v>251</v>
      </c>
      <c r="BK19" s="4">
        <v>0</v>
      </c>
      <c r="BL19" s="4">
        <v>0</v>
      </c>
      <c r="BM19" s="4">
        <v>1</v>
      </c>
      <c r="BN19" s="4">
        <v>123</v>
      </c>
      <c r="BO19" s="4">
        <v>43</v>
      </c>
      <c r="BP19" s="4">
        <v>234</v>
      </c>
      <c r="BQ19" s="4">
        <v>29</v>
      </c>
      <c r="BR19" s="4">
        <v>196</v>
      </c>
      <c r="BS19" s="4">
        <v>43</v>
      </c>
      <c r="BT19" s="4">
        <v>40</v>
      </c>
      <c r="BU19" s="4">
        <v>13</v>
      </c>
      <c r="BV19" s="4">
        <v>22</v>
      </c>
      <c r="BW19" s="4">
        <v>0</v>
      </c>
      <c r="BX19" s="4">
        <v>0</v>
      </c>
      <c r="BY19" s="4">
        <v>5</v>
      </c>
      <c r="BZ19" s="4">
        <v>16</v>
      </c>
      <c r="CA19" s="4">
        <v>1</v>
      </c>
      <c r="CB19" s="4">
        <v>12</v>
      </c>
      <c r="CC19" s="4">
        <v>7</v>
      </c>
      <c r="CD19" s="4">
        <v>8</v>
      </c>
      <c r="CE19" s="4">
        <v>12</v>
      </c>
      <c r="CF19" s="4">
        <v>7</v>
      </c>
      <c r="CG19" s="4">
        <f t="shared" si="13"/>
        <v>254</v>
      </c>
      <c r="CH19" s="4">
        <f t="shared" si="14"/>
        <v>273</v>
      </c>
      <c r="CI19" s="4">
        <f t="shared" si="15"/>
        <v>0</v>
      </c>
      <c r="CJ19" s="4">
        <f t="shared" si="16"/>
        <v>0</v>
      </c>
      <c r="CK19" s="4">
        <f t="shared" si="17"/>
        <v>6</v>
      </c>
      <c r="CL19" s="4">
        <f t="shared" si="18"/>
        <v>139</v>
      </c>
      <c r="CM19" s="4">
        <f t="shared" si="19"/>
        <v>44</v>
      </c>
      <c r="CN19" s="4">
        <f t="shared" si="20"/>
        <v>246</v>
      </c>
      <c r="CO19" s="4">
        <f t="shared" si="21"/>
        <v>36</v>
      </c>
      <c r="CP19" s="4">
        <f t="shared" si="22"/>
        <v>204</v>
      </c>
      <c r="CQ19" s="4">
        <f t="shared" si="23"/>
        <v>55</v>
      </c>
      <c r="CR19" s="20">
        <f t="shared" si="24"/>
        <v>47</v>
      </c>
    </row>
    <row r="20" spans="1:96" x14ac:dyDescent="0.25">
      <c r="A20" s="5" t="s">
        <v>40</v>
      </c>
      <c r="B20" s="5" t="s">
        <v>41</v>
      </c>
      <c r="C20" s="5">
        <v>35566</v>
      </c>
      <c r="D20" s="5">
        <v>27813</v>
      </c>
      <c r="E20" s="5">
        <v>1410</v>
      </c>
      <c r="F20" s="5">
        <v>4960</v>
      </c>
      <c r="G20" s="5">
        <v>5224</v>
      </c>
      <c r="H20" s="5">
        <v>216</v>
      </c>
      <c r="I20" s="5">
        <v>255</v>
      </c>
      <c r="J20" s="5">
        <v>152</v>
      </c>
      <c r="K20" s="5">
        <v>303</v>
      </c>
      <c r="L20" s="5">
        <v>467</v>
      </c>
      <c r="M20" s="5">
        <v>221</v>
      </c>
      <c r="N20" s="5">
        <v>208</v>
      </c>
      <c r="O20" s="5">
        <v>228</v>
      </c>
      <c r="P20" s="5">
        <v>0</v>
      </c>
      <c r="Q20" s="5">
        <v>0</v>
      </c>
      <c r="R20" s="5">
        <v>1</v>
      </c>
      <c r="S20" s="5">
        <v>63</v>
      </c>
      <c r="T20" s="5">
        <v>20</v>
      </c>
      <c r="U20" s="5">
        <v>12</v>
      </c>
      <c r="V20" s="5">
        <v>0</v>
      </c>
      <c r="W20" s="5"/>
      <c r="X20" s="5"/>
      <c r="Y20" s="5">
        <v>10</v>
      </c>
      <c r="Z20" s="5">
        <v>31</v>
      </c>
      <c r="AA20" s="5">
        <v>0</v>
      </c>
      <c r="AB20" s="5">
        <v>0</v>
      </c>
      <c r="AC20" s="5">
        <v>1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19">
        <f t="shared" si="0"/>
        <v>239</v>
      </c>
      <c r="AM20" s="19">
        <f t="shared" si="1"/>
        <v>228</v>
      </c>
      <c r="AN20" s="19">
        <f t="shared" si="2"/>
        <v>0</v>
      </c>
      <c r="AO20" s="19">
        <f t="shared" si="3"/>
        <v>1</v>
      </c>
      <c r="AP20" s="19">
        <f t="shared" si="4"/>
        <v>1</v>
      </c>
      <c r="AQ20" s="19">
        <f t="shared" si="5"/>
        <v>63</v>
      </c>
      <c r="AR20" s="19">
        <f t="shared" si="6"/>
        <v>20</v>
      </c>
      <c r="AS20" s="19">
        <f t="shared" si="7"/>
        <v>12</v>
      </c>
      <c r="AT20" s="19">
        <f t="shared" si="8"/>
        <v>0</v>
      </c>
      <c r="AU20" s="19">
        <f t="shared" si="9"/>
        <v>0</v>
      </c>
      <c r="AV20" s="19">
        <f t="shared" si="10"/>
        <v>0</v>
      </c>
      <c r="AW20" s="19">
        <f t="shared" si="11"/>
        <v>10</v>
      </c>
      <c r="AX20" s="5">
        <v>5153</v>
      </c>
      <c r="AY20" s="5">
        <v>5436</v>
      </c>
      <c r="AZ20" s="5">
        <v>440</v>
      </c>
      <c r="BA20" s="5">
        <v>177</v>
      </c>
      <c r="BB20" s="5">
        <v>160</v>
      </c>
      <c r="BC20" s="5">
        <v>403</v>
      </c>
      <c r="BD20" s="5">
        <v>425</v>
      </c>
      <c r="BE20" s="5">
        <v>237</v>
      </c>
      <c r="BF20" s="5">
        <v>5327</v>
      </c>
      <c r="BG20" s="5">
        <v>2337</v>
      </c>
      <c r="BH20" s="5">
        <v>220</v>
      </c>
      <c r="BI20" s="5">
        <v>207</v>
      </c>
      <c r="BJ20" s="5">
        <v>233</v>
      </c>
      <c r="BK20" s="5">
        <v>0</v>
      </c>
      <c r="BL20" s="5">
        <v>1</v>
      </c>
      <c r="BM20" s="19">
        <v>1</v>
      </c>
      <c r="BN20" s="19">
        <v>60</v>
      </c>
      <c r="BO20" s="5">
        <v>38</v>
      </c>
      <c r="BP20" s="5">
        <v>206</v>
      </c>
      <c r="BQ20" s="5">
        <v>15</v>
      </c>
      <c r="BR20" s="5">
        <v>183</v>
      </c>
      <c r="BS20" s="5">
        <v>84</v>
      </c>
      <c r="BT20" s="5">
        <v>22</v>
      </c>
      <c r="BU20" s="5">
        <v>31</v>
      </c>
      <c r="BV20" s="5">
        <v>57</v>
      </c>
      <c r="BW20" s="5">
        <v>0</v>
      </c>
      <c r="BX20" s="5">
        <v>3</v>
      </c>
      <c r="BY20" s="5">
        <v>9</v>
      </c>
      <c r="BZ20" s="5">
        <v>23</v>
      </c>
      <c r="CA20" s="5">
        <v>9</v>
      </c>
      <c r="CB20" s="5">
        <v>57</v>
      </c>
      <c r="CC20" s="5">
        <v>18</v>
      </c>
      <c r="CD20" s="5">
        <v>29</v>
      </c>
      <c r="CE20" s="5">
        <v>29</v>
      </c>
      <c r="CF20" s="5">
        <v>28</v>
      </c>
      <c r="CG20" s="5">
        <f t="shared" si="13"/>
        <v>238</v>
      </c>
      <c r="CH20" s="5">
        <f t="shared" si="14"/>
        <v>290</v>
      </c>
      <c r="CI20" s="5">
        <f t="shared" si="15"/>
        <v>0</v>
      </c>
      <c r="CJ20" s="5">
        <f t="shared" si="16"/>
        <v>4</v>
      </c>
      <c r="CK20" s="5">
        <f t="shared" si="17"/>
        <v>10</v>
      </c>
      <c r="CL20" s="5">
        <f t="shared" si="18"/>
        <v>83</v>
      </c>
      <c r="CM20" s="5">
        <f t="shared" si="19"/>
        <v>47</v>
      </c>
      <c r="CN20" s="5">
        <f t="shared" si="20"/>
        <v>263</v>
      </c>
      <c r="CO20" s="5">
        <f t="shared" si="21"/>
        <v>33</v>
      </c>
      <c r="CP20" s="5">
        <f t="shared" si="22"/>
        <v>212</v>
      </c>
      <c r="CQ20" s="5">
        <f t="shared" si="23"/>
        <v>113</v>
      </c>
      <c r="CR20" s="19">
        <f t="shared" si="24"/>
        <v>50</v>
      </c>
    </row>
    <row r="21" spans="1:96" x14ac:dyDescent="0.25">
      <c r="A21" s="4" t="s">
        <v>42</v>
      </c>
      <c r="B21" s="4" t="s">
        <v>43</v>
      </c>
      <c r="C21" s="4">
        <v>30503</v>
      </c>
      <c r="D21" s="4">
        <v>23708</v>
      </c>
      <c r="E21" s="4">
        <v>1048</v>
      </c>
      <c r="F21" s="4">
        <v>4235</v>
      </c>
      <c r="G21" s="4">
        <v>4367</v>
      </c>
      <c r="H21" s="4">
        <v>209</v>
      </c>
      <c r="I21" s="4">
        <v>230</v>
      </c>
      <c r="J21" s="4">
        <v>142</v>
      </c>
      <c r="K21" s="4">
        <v>297</v>
      </c>
      <c r="L21" s="4">
        <v>376</v>
      </c>
      <c r="M21" s="4">
        <v>198</v>
      </c>
      <c r="N21" s="4">
        <v>251</v>
      </c>
      <c r="O21" s="4">
        <v>259</v>
      </c>
      <c r="P21" s="4">
        <v>0</v>
      </c>
      <c r="Q21" s="4">
        <v>1</v>
      </c>
      <c r="R21" s="4">
        <v>1</v>
      </c>
      <c r="S21" s="4">
        <v>53</v>
      </c>
      <c r="T21" s="4">
        <v>9</v>
      </c>
      <c r="U21" s="4">
        <v>9</v>
      </c>
      <c r="V21" s="4">
        <v>0</v>
      </c>
      <c r="W21" s="4"/>
      <c r="X21" s="4"/>
      <c r="Y21" s="4">
        <v>26</v>
      </c>
      <c r="Z21" s="4">
        <v>25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20">
        <f t="shared" si="0"/>
        <v>276</v>
      </c>
      <c r="AM21" s="20">
        <f t="shared" si="1"/>
        <v>259</v>
      </c>
      <c r="AN21" s="20">
        <f t="shared" si="2"/>
        <v>0</v>
      </c>
      <c r="AO21" s="20">
        <f t="shared" si="3"/>
        <v>1</v>
      </c>
      <c r="AP21" s="20">
        <f t="shared" si="4"/>
        <v>1</v>
      </c>
      <c r="AQ21" s="20">
        <f t="shared" si="5"/>
        <v>53</v>
      </c>
      <c r="AR21" s="20">
        <f t="shared" si="6"/>
        <v>9</v>
      </c>
      <c r="AS21" s="20">
        <f t="shared" si="7"/>
        <v>9</v>
      </c>
      <c r="AT21" s="20">
        <f t="shared" si="8"/>
        <v>0</v>
      </c>
      <c r="AU21" s="20">
        <f t="shared" si="9"/>
        <v>0</v>
      </c>
      <c r="AV21" s="20">
        <f t="shared" si="10"/>
        <v>0</v>
      </c>
      <c r="AW21" s="20">
        <f t="shared" si="11"/>
        <v>26</v>
      </c>
      <c r="AX21" s="4">
        <v>4322</v>
      </c>
      <c r="AY21" s="4">
        <v>4456</v>
      </c>
      <c r="AZ21" s="4">
        <v>395</v>
      </c>
      <c r="BA21" s="4">
        <v>170</v>
      </c>
      <c r="BB21" s="4">
        <v>139</v>
      </c>
      <c r="BC21" s="4">
        <v>384</v>
      </c>
      <c r="BD21" s="4">
        <v>350</v>
      </c>
      <c r="BE21" s="4">
        <v>227</v>
      </c>
      <c r="BF21" s="4">
        <v>4467</v>
      </c>
      <c r="BG21" s="4">
        <v>2010</v>
      </c>
      <c r="BH21" s="4">
        <v>284</v>
      </c>
      <c r="BI21" s="4">
        <v>252</v>
      </c>
      <c r="BJ21" s="4">
        <v>280</v>
      </c>
      <c r="BK21" s="4">
        <v>0</v>
      </c>
      <c r="BL21" s="4">
        <v>1</v>
      </c>
      <c r="BM21" s="4">
        <v>2</v>
      </c>
      <c r="BN21" s="4">
        <v>65</v>
      </c>
      <c r="BO21" s="4">
        <v>18</v>
      </c>
      <c r="BP21" s="4">
        <v>269</v>
      </c>
      <c r="BQ21" s="4">
        <v>10</v>
      </c>
      <c r="BR21" s="4">
        <v>198</v>
      </c>
      <c r="BS21" s="4">
        <v>140</v>
      </c>
      <c r="BT21" s="4">
        <v>41</v>
      </c>
      <c r="BU21" s="4">
        <v>24</v>
      </c>
      <c r="BV21" s="4">
        <v>71</v>
      </c>
      <c r="BW21" s="4">
        <v>0</v>
      </c>
      <c r="BX21" s="4">
        <v>0</v>
      </c>
      <c r="BY21" s="4">
        <v>4</v>
      </c>
      <c r="BZ21" s="4">
        <v>25</v>
      </c>
      <c r="CA21" s="4">
        <v>7</v>
      </c>
      <c r="CB21" s="4">
        <v>56</v>
      </c>
      <c r="CC21" s="4">
        <v>8</v>
      </c>
      <c r="CD21" s="4">
        <v>19</v>
      </c>
      <c r="CE21" s="4">
        <v>19</v>
      </c>
      <c r="CF21" s="4">
        <v>21</v>
      </c>
      <c r="CG21" s="4">
        <f t="shared" si="13"/>
        <v>276</v>
      </c>
      <c r="CH21" s="4">
        <f t="shared" si="14"/>
        <v>351</v>
      </c>
      <c r="CI21" s="4">
        <f t="shared" si="15"/>
        <v>0</v>
      </c>
      <c r="CJ21" s="4">
        <f t="shared" si="16"/>
        <v>1</v>
      </c>
      <c r="CK21" s="4">
        <f t="shared" si="17"/>
        <v>6</v>
      </c>
      <c r="CL21" s="4">
        <f t="shared" si="18"/>
        <v>90</v>
      </c>
      <c r="CM21" s="4">
        <f t="shared" si="19"/>
        <v>25</v>
      </c>
      <c r="CN21" s="4">
        <f t="shared" si="20"/>
        <v>325</v>
      </c>
      <c r="CO21" s="4">
        <f t="shared" si="21"/>
        <v>18</v>
      </c>
      <c r="CP21" s="4">
        <f t="shared" si="22"/>
        <v>217</v>
      </c>
      <c r="CQ21" s="4">
        <f t="shared" si="23"/>
        <v>159</v>
      </c>
      <c r="CR21" s="20">
        <f t="shared" si="24"/>
        <v>62</v>
      </c>
    </row>
    <row r="22" spans="1:96" x14ac:dyDescent="0.25">
      <c r="A22" s="5" t="s">
        <v>44</v>
      </c>
      <c r="B22" s="5" t="s">
        <v>45</v>
      </c>
      <c r="C22" s="5">
        <v>41799</v>
      </c>
      <c r="D22" s="5">
        <v>32724</v>
      </c>
      <c r="E22" s="5">
        <v>1659</v>
      </c>
      <c r="F22" s="5">
        <v>5358</v>
      </c>
      <c r="G22" s="5">
        <v>5593</v>
      </c>
      <c r="H22" s="5">
        <v>294</v>
      </c>
      <c r="I22" s="5">
        <v>190</v>
      </c>
      <c r="J22" s="5">
        <v>145</v>
      </c>
      <c r="K22" s="5">
        <v>477</v>
      </c>
      <c r="L22" s="5">
        <v>373</v>
      </c>
      <c r="M22" s="5">
        <v>233</v>
      </c>
      <c r="N22" s="5">
        <v>183</v>
      </c>
      <c r="O22" s="5">
        <v>198</v>
      </c>
      <c r="P22" s="5">
        <v>0</v>
      </c>
      <c r="Q22" s="5">
        <v>1</v>
      </c>
      <c r="R22" s="5">
        <v>2</v>
      </c>
      <c r="S22" s="5">
        <v>79</v>
      </c>
      <c r="T22" s="5">
        <v>34</v>
      </c>
      <c r="U22" s="5">
        <v>12</v>
      </c>
      <c r="V22" s="5">
        <v>0</v>
      </c>
      <c r="W22" s="5"/>
      <c r="X22" s="5"/>
      <c r="Y22" s="5">
        <v>13</v>
      </c>
      <c r="Z22" s="5">
        <v>13</v>
      </c>
      <c r="AA22" s="5">
        <v>21</v>
      </c>
      <c r="AB22" s="5">
        <v>0</v>
      </c>
      <c r="AC22" s="5">
        <v>0</v>
      </c>
      <c r="AD22" s="5">
        <v>3</v>
      </c>
      <c r="AE22" s="5">
        <v>6</v>
      </c>
      <c r="AF22" s="5">
        <v>4</v>
      </c>
      <c r="AG22" s="5">
        <v>3</v>
      </c>
      <c r="AH22" s="5">
        <v>0</v>
      </c>
      <c r="AI22" s="5">
        <v>0</v>
      </c>
      <c r="AJ22" s="5">
        <v>0</v>
      </c>
      <c r="AK22" s="5">
        <v>5</v>
      </c>
      <c r="AL22" s="19">
        <f t="shared" si="0"/>
        <v>196</v>
      </c>
      <c r="AM22" s="19">
        <f t="shared" si="1"/>
        <v>219</v>
      </c>
      <c r="AN22" s="19">
        <f t="shared" si="2"/>
        <v>0</v>
      </c>
      <c r="AO22" s="19">
        <f t="shared" si="3"/>
        <v>1</v>
      </c>
      <c r="AP22" s="19">
        <f t="shared" si="4"/>
        <v>5</v>
      </c>
      <c r="AQ22" s="19">
        <f t="shared" si="5"/>
        <v>85</v>
      </c>
      <c r="AR22" s="19">
        <f t="shared" si="6"/>
        <v>38</v>
      </c>
      <c r="AS22" s="19">
        <f t="shared" si="7"/>
        <v>15</v>
      </c>
      <c r="AT22" s="19">
        <f t="shared" si="8"/>
        <v>0</v>
      </c>
      <c r="AU22" s="19">
        <f t="shared" si="9"/>
        <v>0</v>
      </c>
      <c r="AV22" s="19">
        <f t="shared" si="10"/>
        <v>0</v>
      </c>
      <c r="AW22" s="19">
        <f t="shared" si="11"/>
        <v>18</v>
      </c>
      <c r="AX22" s="5">
        <v>5514</v>
      </c>
      <c r="AY22" s="5">
        <v>5797</v>
      </c>
      <c r="AZ22" s="5">
        <v>487</v>
      </c>
      <c r="BA22" s="5">
        <v>136</v>
      </c>
      <c r="BB22" s="5">
        <v>154</v>
      </c>
      <c r="BC22" s="5">
        <v>549</v>
      </c>
      <c r="BD22" s="5">
        <v>343</v>
      </c>
      <c r="BE22" s="5">
        <v>230</v>
      </c>
      <c r="BF22" s="5">
        <v>5617</v>
      </c>
      <c r="BG22" s="5">
        <v>1865</v>
      </c>
      <c r="BH22" s="5">
        <v>266</v>
      </c>
      <c r="BI22" s="5">
        <v>184</v>
      </c>
      <c r="BJ22" s="5">
        <v>201</v>
      </c>
      <c r="BK22" s="5">
        <v>0</v>
      </c>
      <c r="BL22" s="5">
        <v>1</v>
      </c>
      <c r="BM22" s="19">
        <v>2</v>
      </c>
      <c r="BN22" s="19">
        <v>61</v>
      </c>
      <c r="BO22" s="5">
        <v>35</v>
      </c>
      <c r="BP22" s="5">
        <v>173</v>
      </c>
      <c r="BQ22" s="5">
        <v>17</v>
      </c>
      <c r="BR22" s="5">
        <v>127</v>
      </c>
      <c r="BS22" s="5">
        <v>64</v>
      </c>
      <c r="BT22" s="5">
        <v>31</v>
      </c>
      <c r="BU22" s="5">
        <v>11</v>
      </c>
      <c r="BV22" s="5">
        <v>24</v>
      </c>
      <c r="BW22" s="5">
        <v>0</v>
      </c>
      <c r="BX22" s="5">
        <v>0</v>
      </c>
      <c r="BY22" s="5">
        <v>5</v>
      </c>
      <c r="BZ22" s="5">
        <v>9</v>
      </c>
      <c r="CA22" s="5">
        <v>1</v>
      </c>
      <c r="CB22" s="5">
        <v>17</v>
      </c>
      <c r="CC22" s="5">
        <v>3</v>
      </c>
      <c r="CD22" s="5">
        <v>8</v>
      </c>
      <c r="CE22" s="5">
        <v>9</v>
      </c>
      <c r="CF22" s="5">
        <v>12</v>
      </c>
      <c r="CG22" s="5">
        <f t="shared" si="13"/>
        <v>195</v>
      </c>
      <c r="CH22" s="5">
        <f t="shared" si="14"/>
        <v>225</v>
      </c>
      <c r="CI22" s="5">
        <f t="shared" si="15"/>
        <v>0</v>
      </c>
      <c r="CJ22" s="5">
        <f t="shared" si="16"/>
        <v>1</v>
      </c>
      <c r="CK22" s="5">
        <f t="shared" si="17"/>
        <v>7</v>
      </c>
      <c r="CL22" s="5">
        <f t="shared" si="18"/>
        <v>70</v>
      </c>
      <c r="CM22" s="5">
        <f t="shared" si="19"/>
        <v>36</v>
      </c>
      <c r="CN22" s="5">
        <f t="shared" si="20"/>
        <v>190</v>
      </c>
      <c r="CO22" s="5">
        <f t="shared" si="21"/>
        <v>20</v>
      </c>
      <c r="CP22" s="5">
        <f t="shared" si="22"/>
        <v>135</v>
      </c>
      <c r="CQ22" s="5">
        <f t="shared" si="23"/>
        <v>73</v>
      </c>
      <c r="CR22" s="19">
        <f t="shared" si="24"/>
        <v>43</v>
      </c>
    </row>
    <row r="23" spans="1:96" x14ac:dyDescent="0.25">
      <c r="A23" s="4" t="s">
        <v>46</v>
      </c>
      <c r="B23" s="4" t="s">
        <v>47</v>
      </c>
      <c r="C23" s="4">
        <v>22815</v>
      </c>
      <c r="D23" s="4">
        <v>17367</v>
      </c>
      <c r="E23" s="4">
        <v>683</v>
      </c>
      <c r="F23" s="4">
        <v>3945</v>
      </c>
      <c r="G23" s="4">
        <v>4163</v>
      </c>
      <c r="H23" s="4">
        <v>139</v>
      </c>
      <c r="I23" s="4">
        <v>254</v>
      </c>
      <c r="J23" s="4">
        <v>90</v>
      </c>
      <c r="K23" s="4">
        <v>356</v>
      </c>
      <c r="L23" s="4">
        <v>398</v>
      </c>
      <c r="M23" s="4">
        <v>206</v>
      </c>
      <c r="N23" s="4">
        <v>113</v>
      </c>
      <c r="O23" s="4">
        <v>114</v>
      </c>
      <c r="P23" s="4">
        <v>0</v>
      </c>
      <c r="Q23" s="4">
        <v>0</v>
      </c>
      <c r="R23" s="4">
        <v>0</v>
      </c>
      <c r="S23" s="4">
        <v>23</v>
      </c>
      <c r="T23" s="4">
        <v>3</v>
      </c>
      <c r="U23" s="4">
        <v>4</v>
      </c>
      <c r="V23" s="4">
        <v>0</v>
      </c>
      <c r="W23" s="4"/>
      <c r="X23" s="4"/>
      <c r="Y23" s="4">
        <v>8</v>
      </c>
      <c r="Z23" s="4">
        <v>10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20">
        <f t="shared" si="0"/>
        <v>123</v>
      </c>
      <c r="AM23" s="20">
        <f t="shared" si="1"/>
        <v>114</v>
      </c>
      <c r="AN23" s="20">
        <f t="shared" si="2"/>
        <v>0</v>
      </c>
      <c r="AO23" s="20">
        <f t="shared" si="3"/>
        <v>0</v>
      </c>
      <c r="AP23" s="20">
        <f t="shared" si="4"/>
        <v>0</v>
      </c>
      <c r="AQ23" s="20">
        <f t="shared" si="5"/>
        <v>23</v>
      </c>
      <c r="AR23" s="20">
        <f t="shared" si="6"/>
        <v>3</v>
      </c>
      <c r="AS23" s="20">
        <f t="shared" si="7"/>
        <v>4</v>
      </c>
      <c r="AT23" s="20">
        <f t="shared" si="8"/>
        <v>0</v>
      </c>
      <c r="AU23" s="20">
        <f t="shared" si="9"/>
        <v>0</v>
      </c>
      <c r="AV23" s="20">
        <f t="shared" si="10"/>
        <v>0</v>
      </c>
      <c r="AW23" s="20">
        <f t="shared" si="11"/>
        <v>8</v>
      </c>
      <c r="AX23" s="4">
        <v>4126</v>
      </c>
      <c r="AY23" s="4">
        <v>4398</v>
      </c>
      <c r="AZ23" s="4">
        <v>482</v>
      </c>
      <c r="BA23" s="4">
        <v>74</v>
      </c>
      <c r="BB23" s="4">
        <v>94</v>
      </c>
      <c r="BC23" s="4">
        <v>532</v>
      </c>
      <c r="BD23" s="4">
        <v>448</v>
      </c>
      <c r="BE23" s="4">
        <v>197</v>
      </c>
      <c r="BF23" s="4">
        <v>4333</v>
      </c>
      <c r="BG23" s="4">
        <v>1861</v>
      </c>
      <c r="BH23" s="4">
        <v>220</v>
      </c>
      <c r="BI23" s="4">
        <v>115</v>
      </c>
      <c r="BJ23" s="4">
        <v>125</v>
      </c>
      <c r="BK23" s="4">
        <v>0</v>
      </c>
      <c r="BL23" s="4">
        <v>0</v>
      </c>
      <c r="BM23" s="4">
        <v>0</v>
      </c>
      <c r="BN23" s="4">
        <v>22</v>
      </c>
      <c r="BO23" s="4">
        <v>5</v>
      </c>
      <c r="BP23" s="4">
        <v>122</v>
      </c>
      <c r="BQ23" s="4">
        <v>3</v>
      </c>
      <c r="BR23" s="4">
        <v>93</v>
      </c>
      <c r="BS23" s="4">
        <v>41</v>
      </c>
      <c r="BT23" s="4">
        <v>11</v>
      </c>
      <c r="BU23" s="4">
        <v>9</v>
      </c>
      <c r="BV23" s="4">
        <v>13</v>
      </c>
      <c r="BW23" s="4">
        <v>0</v>
      </c>
      <c r="BX23" s="4">
        <v>1</v>
      </c>
      <c r="BY23" s="4">
        <v>0</v>
      </c>
      <c r="BZ23" s="4">
        <v>2</v>
      </c>
      <c r="CA23" s="4">
        <v>1</v>
      </c>
      <c r="CB23" s="4">
        <v>7</v>
      </c>
      <c r="CC23" s="4">
        <v>2</v>
      </c>
      <c r="CD23" s="4">
        <v>8</v>
      </c>
      <c r="CE23" s="4">
        <v>7</v>
      </c>
      <c r="CF23" s="4">
        <v>0</v>
      </c>
      <c r="CG23" s="4">
        <f t="shared" si="13"/>
        <v>124</v>
      </c>
      <c r="CH23" s="4">
        <f t="shared" si="14"/>
        <v>138</v>
      </c>
      <c r="CI23" s="4">
        <f t="shared" si="15"/>
        <v>0</v>
      </c>
      <c r="CJ23" s="4">
        <f t="shared" si="16"/>
        <v>1</v>
      </c>
      <c r="CK23" s="4">
        <f t="shared" si="17"/>
        <v>0</v>
      </c>
      <c r="CL23" s="4">
        <f t="shared" si="18"/>
        <v>24</v>
      </c>
      <c r="CM23" s="4">
        <f t="shared" si="19"/>
        <v>6</v>
      </c>
      <c r="CN23" s="4">
        <f t="shared" si="20"/>
        <v>129</v>
      </c>
      <c r="CO23" s="4">
        <f t="shared" si="21"/>
        <v>5</v>
      </c>
      <c r="CP23" s="4">
        <f t="shared" si="22"/>
        <v>101</v>
      </c>
      <c r="CQ23" s="4">
        <f t="shared" si="23"/>
        <v>48</v>
      </c>
      <c r="CR23" s="20">
        <f t="shared" si="24"/>
        <v>11</v>
      </c>
    </row>
    <row r="24" spans="1:96" x14ac:dyDescent="0.25">
      <c r="A24" s="5" t="s">
        <v>48</v>
      </c>
      <c r="B24" s="5" t="s">
        <v>49</v>
      </c>
      <c r="C24" s="5">
        <v>27775</v>
      </c>
      <c r="D24" s="5">
        <v>22138</v>
      </c>
      <c r="E24" s="5">
        <v>796</v>
      </c>
      <c r="F24" s="5">
        <v>7374</v>
      </c>
      <c r="G24" s="5">
        <v>7598</v>
      </c>
      <c r="H24" s="5">
        <v>454</v>
      </c>
      <c r="I24" s="5">
        <v>437</v>
      </c>
      <c r="J24" s="5">
        <v>119</v>
      </c>
      <c r="K24" s="5">
        <v>481</v>
      </c>
      <c r="L24" s="5">
        <v>650</v>
      </c>
      <c r="M24" s="5">
        <v>407</v>
      </c>
      <c r="N24" s="5">
        <v>278</v>
      </c>
      <c r="O24" s="5">
        <v>299</v>
      </c>
      <c r="P24" s="5">
        <v>0</v>
      </c>
      <c r="Q24" s="5">
        <v>1</v>
      </c>
      <c r="R24" s="5">
        <v>6</v>
      </c>
      <c r="S24" s="5">
        <v>42</v>
      </c>
      <c r="T24" s="5">
        <v>28</v>
      </c>
      <c r="U24" s="5">
        <v>24</v>
      </c>
      <c r="V24" s="5">
        <v>0</v>
      </c>
      <c r="W24" s="5"/>
      <c r="X24" s="5"/>
      <c r="Y24" s="5">
        <v>30</v>
      </c>
      <c r="Z24" s="5">
        <v>18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19">
        <f t="shared" si="0"/>
        <v>296</v>
      </c>
      <c r="AM24" s="19">
        <f t="shared" si="1"/>
        <v>299</v>
      </c>
      <c r="AN24" s="19">
        <f t="shared" si="2"/>
        <v>0</v>
      </c>
      <c r="AO24" s="19">
        <f t="shared" si="3"/>
        <v>1</v>
      </c>
      <c r="AP24" s="19">
        <f t="shared" si="4"/>
        <v>6</v>
      </c>
      <c r="AQ24" s="19">
        <f t="shared" si="5"/>
        <v>42</v>
      </c>
      <c r="AR24" s="19">
        <f t="shared" si="6"/>
        <v>28</v>
      </c>
      <c r="AS24" s="19">
        <f t="shared" si="7"/>
        <v>24</v>
      </c>
      <c r="AT24" s="19">
        <f t="shared" si="8"/>
        <v>0</v>
      </c>
      <c r="AU24" s="19">
        <f t="shared" si="9"/>
        <v>0</v>
      </c>
      <c r="AV24" s="19">
        <f t="shared" si="10"/>
        <v>0</v>
      </c>
      <c r="AW24" s="19">
        <f t="shared" si="11"/>
        <v>30</v>
      </c>
      <c r="AX24" s="5">
        <v>7529</v>
      </c>
      <c r="AY24" s="5">
        <v>7861</v>
      </c>
      <c r="AZ24" s="5">
        <v>728</v>
      </c>
      <c r="BA24" s="5">
        <v>375</v>
      </c>
      <c r="BB24" s="5">
        <v>123</v>
      </c>
      <c r="BC24" s="5">
        <v>552</v>
      </c>
      <c r="BD24" s="5">
        <v>566</v>
      </c>
      <c r="BE24" s="5">
        <v>399</v>
      </c>
      <c r="BF24" s="5">
        <v>7786</v>
      </c>
      <c r="BG24" s="5">
        <v>3896</v>
      </c>
      <c r="BH24" s="5">
        <v>473</v>
      </c>
      <c r="BI24" s="5">
        <v>277</v>
      </c>
      <c r="BJ24" s="5">
        <v>330</v>
      </c>
      <c r="BK24" s="5">
        <v>0</v>
      </c>
      <c r="BL24" s="5">
        <v>1</v>
      </c>
      <c r="BM24" s="19">
        <v>6</v>
      </c>
      <c r="BN24" s="19">
        <v>36</v>
      </c>
      <c r="BO24" s="5">
        <v>19</v>
      </c>
      <c r="BP24" s="5">
        <v>340</v>
      </c>
      <c r="BQ24" s="5">
        <v>25</v>
      </c>
      <c r="BR24" s="5">
        <v>271</v>
      </c>
      <c r="BS24" s="5">
        <v>159</v>
      </c>
      <c r="BT24" s="5">
        <v>36</v>
      </c>
      <c r="BU24" s="5">
        <v>17</v>
      </c>
      <c r="BV24" s="5">
        <v>26</v>
      </c>
      <c r="BW24" s="5">
        <v>0</v>
      </c>
      <c r="BX24" s="5">
        <v>0</v>
      </c>
      <c r="BY24" s="5">
        <v>4</v>
      </c>
      <c r="BZ24" s="5">
        <v>9</v>
      </c>
      <c r="CA24" s="5">
        <v>3</v>
      </c>
      <c r="CB24" s="5">
        <v>22</v>
      </c>
      <c r="CC24" s="5">
        <v>2</v>
      </c>
      <c r="CD24" s="5">
        <v>13</v>
      </c>
      <c r="CE24" s="5">
        <v>15</v>
      </c>
      <c r="CF24" s="5">
        <v>18</v>
      </c>
      <c r="CG24" s="5">
        <f t="shared" si="13"/>
        <v>294</v>
      </c>
      <c r="CH24" s="5">
        <f t="shared" si="14"/>
        <v>356</v>
      </c>
      <c r="CI24" s="5">
        <f t="shared" si="15"/>
        <v>0</v>
      </c>
      <c r="CJ24" s="5">
        <f t="shared" si="16"/>
        <v>1</v>
      </c>
      <c r="CK24" s="5">
        <f t="shared" si="17"/>
        <v>10</v>
      </c>
      <c r="CL24" s="5">
        <f t="shared" si="18"/>
        <v>45</v>
      </c>
      <c r="CM24" s="5">
        <f t="shared" si="19"/>
        <v>22</v>
      </c>
      <c r="CN24" s="5">
        <f t="shared" si="20"/>
        <v>362</v>
      </c>
      <c r="CO24" s="5">
        <f t="shared" si="21"/>
        <v>27</v>
      </c>
      <c r="CP24" s="5">
        <f t="shared" si="22"/>
        <v>284</v>
      </c>
      <c r="CQ24" s="5">
        <f t="shared" si="23"/>
        <v>174</v>
      </c>
      <c r="CR24" s="19">
        <f t="shared" si="24"/>
        <v>54</v>
      </c>
    </row>
    <row r="25" spans="1:96" x14ac:dyDescent="0.25">
      <c r="A25" s="4" t="s">
        <v>50</v>
      </c>
      <c r="B25" s="4" t="s">
        <v>51</v>
      </c>
      <c r="C25" s="4">
        <v>27716</v>
      </c>
      <c r="D25" s="4">
        <v>21269</v>
      </c>
      <c r="E25" s="4">
        <v>940</v>
      </c>
      <c r="F25" s="4">
        <v>5730</v>
      </c>
      <c r="G25" s="4">
        <v>5947</v>
      </c>
      <c r="H25" s="4">
        <v>296</v>
      </c>
      <c r="I25" s="4">
        <v>261</v>
      </c>
      <c r="J25" s="4">
        <v>148</v>
      </c>
      <c r="K25" s="4">
        <v>512</v>
      </c>
      <c r="L25" s="4">
        <v>537</v>
      </c>
      <c r="M25" s="4">
        <v>219</v>
      </c>
      <c r="N25" s="4">
        <v>279</v>
      </c>
      <c r="O25" s="4">
        <v>289</v>
      </c>
      <c r="P25" s="4">
        <v>0</v>
      </c>
      <c r="Q25" s="4">
        <v>1</v>
      </c>
      <c r="R25" s="4">
        <v>3</v>
      </c>
      <c r="S25" s="4">
        <v>97</v>
      </c>
      <c r="T25" s="4">
        <v>31</v>
      </c>
      <c r="U25" s="4">
        <v>25</v>
      </c>
      <c r="V25" s="4">
        <v>0</v>
      </c>
      <c r="W25" s="4"/>
      <c r="X25" s="4"/>
      <c r="Y25" s="4">
        <v>18</v>
      </c>
      <c r="Z25" s="4">
        <v>7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20">
        <f t="shared" si="0"/>
        <v>286</v>
      </c>
      <c r="AM25" s="20">
        <f t="shared" si="1"/>
        <v>289</v>
      </c>
      <c r="AN25" s="20">
        <f t="shared" si="2"/>
        <v>0</v>
      </c>
      <c r="AO25" s="20">
        <f t="shared" si="3"/>
        <v>1</v>
      </c>
      <c r="AP25" s="20">
        <f t="shared" si="4"/>
        <v>3</v>
      </c>
      <c r="AQ25" s="20">
        <f t="shared" si="5"/>
        <v>97</v>
      </c>
      <c r="AR25" s="20">
        <f t="shared" si="6"/>
        <v>31</v>
      </c>
      <c r="AS25" s="20">
        <f t="shared" si="7"/>
        <v>25</v>
      </c>
      <c r="AT25" s="20">
        <f t="shared" si="8"/>
        <v>0</v>
      </c>
      <c r="AU25" s="20">
        <f t="shared" si="9"/>
        <v>0</v>
      </c>
      <c r="AV25" s="20">
        <f t="shared" si="10"/>
        <v>0</v>
      </c>
      <c r="AW25" s="20">
        <f t="shared" si="11"/>
        <v>18</v>
      </c>
      <c r="AX25" s="4">
        <v>5947</v>
      </c>
      <c r="AY25" s="4">
        <v>6181</v>
      </c>
      <c r="AZ25" s="4">
        <v>664</v>
      </c>
      <c r="BA25" s="4">
        <v>88</v>
      </c>
      <c r="BB25" s="4">
        <v>145</v>
      </c>
      <c r="BC25" s="4">
        <v>643</v>
      </c>
      <c r="BD25" s="4">
        <v>559</v>
      </c>
      <c r="BE25" s="4">
        <v>222</v>
      </c>
      <c r="BF25" s="4">
        <v>6300</v>
      </c>
      <c r="BG25" s="4">
        <v>2951</v>
      </c>
      <c r="BH25" s="4">
        <v>384</v>
      </c>
      <c r="BI25" s="4">
        <v>321</v>
      </c>
      <c r="BJ25" s="4">
        <v>347</v>
      </c>
      <c r="BK25" s="4">
        <v>0</v>
      </c>
      <c r="BL25" s="4">
        <v>3</v>
      </c>
      <c r="BM25" s="4">
        <v>4</v>
      </c>
      <c r="BN25" s="4">
        <v>99</v>
      </c>
      <c r="BO25" s="4">
        <v>51</v>
      </c>
      <c r="BP25" s="4">
        <v>342</v>
      </c>
      <c r="BQ25" s="4">
        <v>41</v>
      </c>
      <c r="BR25" s="4">
        <v>288</v>
      </c>
      <c r="BS25" s="4">
        <v>119</v>
      </c>
      <c r="BT25" s="4">
        <v>38</v>
      </c>
      <c r="BU25" s="4">
        <v>8</v>
      </c>
      <c r="BV25" s="4">
        <v>9</v>
      </c>
      <c r="BW25" s="4">
        <v>0</v>
      </c>
      <c r="BX25" s="4">
        <v>0</v>
      </c>
      <c r="BY25" s="4">
        <v>1</v>
      </c>
      <c r="BZ25" s="4">
        <v>3</v>
      </c>
      <c r="CA25" s="4">
        <v>1</v>
      </c>
      <c r="CB25" s="4">
        <v>8</v>
      </c>
      <c r="CC25" s="4">
        <v>2</v>
      </c>
      <c r="CD25" s="4">
        <v>7</v>
      </c>
      <c r="CE25" s="4">
        <v>6</v>
      </c>
      <c r="CF25" s="4">
        <v>4</v>
      </c>
      <c r="CG25" s="4">
        <f t="shared" si="13"/>
        <v>329</v>
      </c>
      <c r="CH25" s="4">
        <f t="shared" si="14"/>
        <v>356</v>
      </c>
      <c r="CI25" s="4">
        <f t="shared" si="15"/>
        <v>0</v>
      </c>
      <c r="CJ25" s="4">
        <f t="shared" si="16"/>
        <v>3</v>
      </c>
      <c r="CK25" s="4">
        <f t="shared" si="17"/>
        <v>5</v>
      </c>
      <c r="CL25" s="4">
        <f t="shared" si="18"/>
        <v>102</v>
      </c>
      <c r="CM25" s="4">
        <f t="shared" si="19"/>
        <v>52</v>
      </c>
      <c r="CN25" s="4">
        <f t="shared" si="20"/>
        <v>350</v>
      </c>
      <c r="CO25" s="4">
        <f t="shared" si="21"/>
        <v>43</v>
      </c>
      <c r="CP25" s="4">
        <f t="shared" si="22"/>
        <v>295</v>
      </c>
      <c r="CQ25" s="4">
        <f t="shared" si="23"/>
        <v>125</v>
      </c>
      <c r="CR25" s="20">
        <f t="shared" si="24"/>
        <v>42</v>
      </c>
    </row>
    <row r="26" spans="1:96" x14ac:dyDescent="0.25">
      <c r="A26" s="5" t="s">
        <v>52</v>
      </c>
      <c r="B26" s="5" t="s">
        <v>53</v>
      </c>
      <c r="C26" s="5">
        <v>24308</v>
      </c>
      <c r="D26" s="5">
        <v>18586</v>
      </c>
      <c r="E26" s="5">
        <v>802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/>
      <c r="X26" s="5"/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19">
        <f t="shared" si="0"/>
        <v>0</v>
      </c>
      <c r="AM26" s="19">
        <f t="shared" si="1"/>
        <v>0</v>
      </c>
      <c r="AN26" s="19">
        <f t="shared" si="2"/>
        <v>0</v>
      </c>
      <c r="AO26" s="19">
        <f t="shared" si="3"/>
        <v>0</v>
      </c>
      <c r="AP26" s="19">
        <f t="shared" si="4"/>
        <v>0</v>
      </c>
      <c r="AQ26" s="19">
        <f t="shared" si="5"/>
        <v>0</v>
      </c>
      <c r="AR26" s="19">
        <f t="shared" si="6"/>
        <v>0</v>
      </c>
      <c r="AS26" s="19">
        <f t="shared" si="7"/>
        <v>0</v>
      </c>
      <c r="AT26" s="19">
        <f t="shared" si="8"/>
        <v>0</v>
      </c>
      <c r="AU26" s="19">
        <f t="shared" si="9"/>
        <v>0</v>
      </c>
      <c r="AV26" s="19">
        <f t="shared" si="10"/>
        <v>0</v>
      </c>
      <c r="AW26" s="19">
        <f t="shared" si="11"/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19">
        <v>0</v>
      </c>
      <c r="BN26" s="19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f t="shared" si="13"/>
        <v>0</v>
      </c>
      <c r="CH26" s="5">
        <f t="shared" si="14"/>
        <v>0</v>
      </c>
      <c r="CI26" s="5">
        <f t="shared" si="15"/>
        <v>0</v>
      </c>
      <c r="CJ26" s="5">
        <f t="shared" si="16"/>
        <v>0</v>
      </c>
      <c r="CK26" s="5">
        <f t="shared" si="17"/>
        <v>0</v>
      </c>
      <c r="CL26" s="5">
        <f t="shared" si="18"/>
        <v>0</v>
      </c>
      <c r="CM26" s="5">
        <f t="shared" si="19"/>
        <v>0</v>
      </c>
      <c r="CN26" s="5">
        <f t="shared" si="20"/>
        <v>0</v>
      </c>
      <c r="CO26" s="5">
        <f t="shared" si="21"/>
        <v>0</v>
      </c>
      <c r="CP26" s="5">
        <f t="shared" si="22"/>
        <v>0</v>
      </c>
      <c r="CQ26" s="5">
        <f t="shared" si="23"/>
        <v>0</v>
      </c>
      <c r="CR26" s="19">
        <f t="shared" si="24"/>
        <v>0</v>
      </c>
    </row>
    <row r="27" spans="1:96" x14ac:dyDescent="0.25">
      <c r="A27" s="4" t="s">
        <v>54</v>
      </c>
      <c r="B27" s="4" t="s">
        <v>55</v>
      </c>
      <c r="C27" s="4">
        <v>22868</v>
      </c>
      <c r="D27" s="4">
        <v>19137</v>
      </c>
      <c r="E27" s="4">
        <v>949</v>
      </c>
      <c r="F27" s="4">
        <v>3058</v>
      </c>
      <c r="G27" s="4">
        <v>3206</v>
      </c>
      <c r="H27" s="4">
        <v>91</v>
      </c>
      <c r="I27" s="4">
        <v>154</v>
      </c>
      <c r="J27" s="4">
        <v>111</v>
      </c>
      <c r="K27" s="4">
        <v>215</v>
      </c>
      <c r="L27" s="4">
        <v>194</v>
      </c>
      <c r="M27" s="4">
        <v>99</v>
      </c>
      <c r="N27" s="4">
        <v>113</v>
      </c>
      <c r="O27" s="4">
        <v>120</v>
      </c>
      <c r="P27" s="4">
        <v>0</v>
      </c>
      <c r="Q27" s="4">
        <v>0</v>
      </c>
      <c r="R27" s="4">
        <v>1</v>
      </c>
      <c r="S27" s="4">
        <v>32</v>
      </c>
      <c r="T27" s="4">
        <v>6</v>
      </c>
      <c r="U27" s="4">
        <v>6</v>
      </c>
      <c r="V27" s="4">
        <v>0</v>
      </c>
      <c r="W27" s="4"/>
      <c r="X27" s="4"/>
      <c r="Y27" s="4">
        <v>10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20">
        <f t="shared" si="0"/>
        <v>113</v>
      </c>
      <c r="AM27" s="20">
        <f t="shared" si="1"/>
        <v>120</v>
      </c>
      <c r="AN27" s="20">
        <f t="shared" si="2"/>
        <v>0</v>
      </c>
      <c r="AO27" s="20">
        <f t="shared" si="3"/>
        <v>0</v>
      </c>
      <c r="AP27" s="20">
        <f t="shared" si="4"/>
        <v>1</v>
      </c>
      <c r="AQ27" s="20">
        <f t="shared" si="5"/>
        <v>32</v>
      </c>
      <c r="AR27" s="20">
        <f t="shared" si="6"/>
        <v>6</v>
      </c>
      <c r="AS27" s="20">
        <f t="shared" si="7"/>
        <v>6</v>
      </c>
      <c r="AT27" s="20">
        <f t="shared" si="8"/>
        <v>0</v>
      </c>
      <c r="AU27" s="20">
        <f t="shared" si="9"/>
        <v>0</v>
      </c>
      <c r="AV27" s="20">
        <f t="shared" si="10"/>
        <v>0</v>
      </c>
      <c r="AW27" s="20">
        <f t="shared" si="11"/>
        <v>10</v>
      </c>
      <c r="AX27" s="4">
        <v>3239</v>
      </c>
      <c r="AY27" s="4">
        <v>3418</v>
      </c>
      <c r="AZ27" s="4">
        <v>258</v>
      </c>
      <c r="BA27" s="4">
        <v>96</v>
      </c>
      <c r="BB27" s="4">
        <v>124</v>
      </c>
      <c r="BC27" s="4">
        <v>268</v>
      </c>
      <c r="BD27" s="4">
        <v>217</v>
      </c>
      <c r="BE27" s="4">
        <v>112</v>
      </c>
      <c r="BF27" s="4">
        <v>3298</v>
      </c>
      <c r="BG27" s="4">
        <v>1482</v>
      </c>
      <c r="BH27" s="4">
        <v>103</v>
      </c>
      <c r="BI27" s="4">
        <v>131</v>
      </c>
      <c r="BJ27" s="4">
        <v>140</v>
      </c>
      <c r="BK27" s="4">
        <v>0</v>
      </c>
      <c r="BL27" s="4">
        <v>0</v>
      </c>
      <c r="BM27" s="4">
        <v>1</v>
      </c>
      <c r="BN27" s="4">
        <v>32</v>
      </c>
      <c r="BO27" s="4">
        <v>21</v>
      </c>
      <c r="BP27" s="4">
        <v>139</v>
      </c>
      <c r="BQ27" s="4">
        <v>3</v>
      </c>
      <c r="BR27" s="4">
        <v>119</v>
      </c>
      <c r="BS27" s="4">
        <v>48</v>
      </c>
      <c r="BT27" s="4">
        <v>25</v>
      </c>
      <c r="BU27" s="4">
        <v>5</v>
      </c>
      <c r="BV27" s="4">
        <v>6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2</v>
      </c>
      <c r="CC27" s="4">
        <v>0</v>
      </c>
      <c r="CD27" s="4">
        <v>4</v>
      </c>
      <c r="CE27" s="4">
        <v>3</v>
      </c>
      <c r="CF27" s="4">
        <v>3</v>
      </c>
      <c r="CG27" s="4">
        <f t="shared" si="13"/>
        <v>136</v>
      </c>
      <c r="CH27" s="4">
        <f t="shared" si="14"/>
        <v>146</v>
      </c>
      <c r="CI27" s="4">
        <f t="shared" si="15"/>
        <v>0</v>
      </c>
      <c r="CJ27" s="4">
        <f t="shared" si="16"/>
        <v>0</v>
      </c>
      <c r="CK27" s="4">
        <f t="shared" si="17"/>
        <v>1</v>
      </c>
      <c r="CL27" s="4">
        <f t="shared" si="18"/>
        <v>32</v>
      </c>
      <c r="CM27" s="4">
        <f t="shared" si="19"/>
        <v>21</v>
      </c>
      <c r="CN27" s="4">
        <f t="shared" si="20"/>
        <v>141</v>
      </c>
      <c r="CO27" s="4">
        <f t="shared" si="21"/>
        <v>3</v>
      </c>
      <c r="CP27" s="4">
        <f t="shared" si="22"/>
        <v>123</v>
      </c>
      <c r="CQ27" s="4">
        <f t="shared" si="23"/>
        <v>51</v>
      </c>
      <c r="CR27" s="20">
        <f t="shared" si="24"/>
        <v>28</v>
      </c>
    </row>
    <row r="28" spans="1:96" x14ac:dyDescent="0.25">
      <c r="A28" s="5" t="s">
        <v>56</v>
      </c>
      <c r="B28" s="5" t="s">
        <v>57</v>
      </c>
      <c r="C28" s="5">
        <v>7920</v>
      </c>
      <c r="D28" s="5">
        <v>6833</v>
      </c>
      <c r="E28" s="5">
        <v>312</v>
      </c>
      <c r="F28" s="5">
        <v>9307</v>
      </c>
      <c r="G28" s="5">
        <v>9715</v>
      </c>
      <c r="H28" s="5">
        <v>133</v>
      </c>
      <c r="I28" s="5">
        <v>333</v>
      </c>
      <c r="J28" s="5">
        <v>104</v>
      </c>
      <c r="K28" s="5">
        <v>496</v>
      </c>
      <c r="L28" s="5">
        <v>536</v>
      </c>
      <c r="M28" s="5">
        <v>189</v>
      </c>
      <c r="N28" s="5">
        <v>245</v>
      </c>
      <c r="O28" s="5">
        <v>247</v>
      </c>
      <c r="P28" s="5">
        <v>0</v>
      </c>
      <c r="Q28" s="5">
        <v>0</v>
      </c>
      <c r="R28" s="5">
        <v>1</v>
      </c>
      <c r="S28" s="5">
        <v>3</v>
      </c>
      <c r="T28" s="5">
        <v>0</v>
      </c>
      <c r="U28" s="5">
        <v>1</v>
      </c>
      <c r="V28" s="5">
        <v>0</v>
      </c>
      <c r="W28" s="5"/>
      <c r="X28" s="5"/>
      <c r="Y28" s="5">
        <v>27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19">
        <f t="shared" si="0"/>
        <v>245</v>
      </c>
      <c r="AM28" s="19">
        <f t="shared" si="1"/>
        <v>247</v>
      </c>
      <c r="AN28" s="19">
        <f t="shared" si="2"/>
        <v>0</v>
      </c>
      <c r="AO28" s="19">
        <f t="shared" si="3"/>
        <v>0</v>
      </c>
      <c r="AP28" s="19">
        <f t="shared" si="4"/>
        <v>1</v>
      </c>
      <c r="AQ28" s="19">
        <f t="shared" si="5"/>
        <v>3</v>
      </c>
      <c r="AR28" s="19">
        <f t="shared" si="6"/>
        <v>0</v>
      </c>
      <c r="AS28" s="19">
        <f t="shared" si="7"/>
        <v>1</v>
      </c>
      <c r="AT28" s="19">
        <f t="shared" si="8"/>
        <v>0</v>
      </c>
      <c r="AU28" s="19">
        <f t="shared" si="9"/>
        <v>0</v>
      </c>
      <c r="AV28" s="19">
        <f t="shared" si="10"/>
        <v>0</v>
      </c>
      <c r="AW28" s="19">
        <f t="shared" si="11"/>
        <v>27</v>
      </c>
      <c r="AX28" s="5">
        <v>9261</v>
      </c>
      <c r="AY28" s="5">
        <v>9699</v>
      </c>
      <c r="AZ28" s="5">
        <v>814</v>
      </c>
      <c r="BA28" s="5">
        <v>48</v>
      </c>
      <c r="BB28" s="5">
        <v>89</v>
      </c>
      <c r="BC28" s="5">
        <v>403</v>
      </c>
      <c r="BD28" s="5">
        <v>399</v>
      </c>
      <c r="BE28" s="5">
        <v>158</v>
      </c>
      <c r="BF28" s="5">
        <v>9361</v>
      </c>
      <c r="BG28" s="5">
        <v>2849</v>
      </c>
      <c r="BH28" s="5">
        <v>780</v>
      </c>
      <c r="BI28" s="5">
        <v>308</v>
      </c>
      <c r="BJ28" s="5">
        <v>320</v>
      </c>
      <c r="BK28" s="5">
        <v>0</v>
      </c>
      <c r="BL28" s="5">
        <v>0</v>
      </c>
      <c r="BM28" s="19">
        <v>2</v>
      </c>
      <c r="BN28" s="19">
        <v>3</v>
      </c>
      <c r="BO28" s="5">
        <v>1</v>
      </c>
      <c r="BP28" s="5">
        <v>290</v>
      </c>
      <c r="BQ28" s="5">
        <v>1</v>
      </c>
      <c r="BR28" s="5">
        <v>281</v>
      </c>
      <c r="BS28" s="5">
        <v>265</v>
      </c>
      <c r="BT28" s="5">
        <v>81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f t="shared" si="13"/>
        <v>308</v>
      </c>
      <c r="CH28" s="5">
        <f t="shared" si="14"/>
        <v>320</v>
      </c>
      <c r="CI28" s="5">
        <f t="shared" si="15"/>
        <v>0</v>
      </c>
      <c r="CJ28" s="5">
        <f t="shared" si="16"/>
        <v>0</v>
      </c>
      <c r="CK28" s="5">
        <f t="shared" si="17"/>
        <v>2</v>
      </c>
      <c r="CL28" s="5">
        <f t="shared" si="18"/>
        <v>3</v>
      </c>
      <c r="CM28" s="5">
        <f t="shared" si="19"/>
        <v>1</v>
      </c>
      <c r="CN28" s="5">
        <f t="shared" si="20"/>
        <v>290</v>
      </c>
      <c r="CO28" s="5">
        <f t="shared" si="21"/>
        <v>1</v>
      </c>
      <c r="CP28" s="5">
        <f t="shared" si="22"/>
        <v>281</v>
      </c>
      <c r="CQ28" s="5">
        <f t="shared" si="23"/>
        <v>265</v>
      </c>
      <c r="CR28" s="19">
        <f t="shared" si="24"/>
        <v>81</v>
      </c>
    </row>
    <row r="29" spans="1:96" x14ac:dyDescent="0.25">
      <c r="A29" s="4" t="s">
        <v>52</v>
      </c>
      <c r="B29" s="4" t="s">
        <v>58</v>
      </c>
      <c r="C29" s="4">
        <v>28896</v>
      </c>
      <c r="D29" s="4">
        <v>23559</v>
      </c>
      <c r="E29" s="4">
        <v>652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/>
      <c r="X29" s="4"/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20">
        <f t="shared" si="0"/>
        <v>0</v>
      </c>
      <c r="AM29" s="20">
        <f t="shared" si="1"/>
        <v>0</v>
      </c>
      <c r="AN29" s="20">
        <f t="shared" si="2"/>
        <v>0</v>
      </c>
      <c r="AO29" s="20">
        <f t="shared" si="3"/>
        <v>0</v>
      </c>
      <c r="AP29" s="20">
        <f t="shared" si="4"/>
        <v>0</v>
      </c>
      <c r="AQ29" s="20">
        <f t="shared" si="5"/>
        <v>0</v>
      </c>
      <c r="AR29" s="20">
        <f t="shared" si="6"/>
        <v>0</v>
      </c>
      <c r="AS29" s="20">
        <f t="shared" si="7"/>
        <v>0</v>
      </c>
      <c r="AT29" s="20">
        <f t="shared" si="8"/>
        <v>0</v>
      </c>
      <c r="AU29" s="20">
        <f t="shared" si="9"/>
        <v>0</v>
      </c>
      <c r="AV29" s="20">
        <f t="shared" si="10"/>
        <v>0</v>
      </c>
      <c r="AW29" s="20">
        <f t="shared" si="11"/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f t="shared" si="13"/>
        <v>0</v>
      </c>
      <c r="CH29" s="4">
        <f t="shared" si="14"/>
        <v>0</v>
      </c>
      <c r="CI29" s="4">
        <f t="shared" si="15"/>
        <v>0</v>
      </c>
      <c r="CJ29" s="4">
        <f t="shared" si="16"/>
        <v>0</v>
      </c>
      <c r="CK29" s="4">
        <f t="shared" si="17"/>
        <v>0</v>
      </c>
      <c r="CL29" s="4">
        <f t="shared" si="18"/>
        <v>0</v>
      </c>
      <c r="CM29" s="4">
        <f t="shared" si="19"/>
        <v>0</v>
      </c>
      <c r="CN29" s="4">
        <f t="shared" si="20"/>
        <v>0</v>
      </c>
      <c r="CO29" s="4">
        <f t="shared" si="21"/>
        <v>0</v>
      </c>
      <c r="CP29" s="4">
        <f t="shared" si="22"/>
        <v>0</v>
      </c>
      <c r="CQ29" s="4">
        <f t="shared" si="23"/>
        <v>0</v>
      </c>
      <c r="CR29" s="20">
        <f t="shared" si="24"/>
        <v>0</v>
      </c>
    </row>
    <row r="30" spans="1:96" x14ac:dyDescent="0.25">
      <c r="A30" s="5" t="s">
        <v>52</v>
      </c>
      <c r="B30" s="5" t="s">
        <v>59</v>
      </c>
      <c r="C30" s="5">
        <v>5607</v>
      </c>
      <c r="D30" s="5">
        <v>4206</v>
      </c>
      <c r="E30" s="5">
        <v>219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/>
      <c r="X30" s="5"/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19">
        <f t="shared" si="0"/>
        <v>0</v>
      </c>
      <c r="AM30" s="19">
        <f t="shared" si="1"/>
        <v>0</v>
      </c>
      <c r="AN30" s="19">
        <f t="shared" si="2"/>
        <v>0</v>
      </c>
      <c r="AO30" s="19">
        <f t="shared" si="3"/>
        <v>0</v>
      </c>
      <c r="AP30" s="19">
        <f t="shared" si="4"/>
        <v>0</v>
      </c>
      <c r="AQ30" s="19">
        <f t="shared" si="5"/>
        <v>0</v>
      </c>
      <c r="AR30" s="19">
        <f t="shared" si="6"/>
        <v>0</v>
      </c>
      <c r="AS30" s="19">
        <f t="shared" si="7"/>
        <v>0</v>
      </c>
      <c r="AT30" s="19">
        <f t="shared" si="8"/>
        <v>0</v>
      </c>
      <c r="AU30" s="19">
        <f t="shared" si="9"/>
        <v>0</v>
      </c>
      <c r="AV30" s="19">
        <f t="shared" si="10"/>
        <v>0</v>
      </c>
      <c r="AW30" s="19">
        <f t="shared" si="11"/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19">
        <v>0</v>
      </c>
      <c r="BN30" s="19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f t="shared" si="13"/>
        <v>0</v>
      </c>
      <c r="CH30" s="5">
        <f t="shared" si="14"/>
        <v>0</v>
      </c>
      <c r="CI30" s="5">
        <f t="shared" si="15"/>
        <v>0</v>
      </c>
      <c r="CJ30" s="5">
        <f t="shared" si="16"/>
        <v>0</v>
      </c>
      <c r="CK30" s="5">
        <f t="shared" si="17"/>
        <v>0</v>
      </c>
      <c r="CL30" s="5">
        <f t="shared" si="18"/>
        <v>0</v>
      </c>
      <c r="CM30" s="5">
        <f t="shared" si="19"/>
        <v>0</v>
      </c>
      <c r="CN30" s="5">
        <f t="shared" si="20"/>
        <v>0</v>
      </c>
      <c r="CO30" s="5">
        <f t="shared" si="21"/>
        <v>0</v>
      </c>
      <c r="CP30" s="5">
        <f t="shared" si="22"/>
        <v>0</v>
      </c>
      <c r="CQ30" s="5">
        <f t="shared" si="23"/>
        <v>0</v>
      </c>
      <c r="CR30" s="19">
        <f t="shared" si="24"/>
        <v>0</v>
      </c>
    </row>
    <row r="31" spans="1:96" x14ac:dyDescent="0.25">
      <c r="A31" s="4" t="s">
        <v>60</v>
      </c>
      <c r="B31" s="4" t="s">
        <v>61</v>
      </c>
      <c r="C31" s="4">
        <v>8533</v>
      </c>
      <c r="D31" s="4">
        <v>6447</v>
      </c>
      <c r="E31" s="4">
        <v>282</v>
      </c>
      <c r="F31" s="4">
        <v>3155</v>
      </c>
      <c r="G31" s="4">
        <v>3271</v>
      </c>
      <c r="H31" s="4">
        <v>123</v>
      </c>
      <c r="I31" s="4">
        <v>143</v>
      </c>
      <c r="J31" s="4">
        <v>91</v>
      </c>
      <c r="K31" s="4">
        <v>410</v>
      </c>
      <c r="L31" s="4">
        <v>366</v>
      </c>
      <c r="M31" s="4">
        <v>185</v>
      </c>
      <c r="N31" s="4">
        <v>164</v>
      </c>
      <c r="O31" s="4">
        <v>168</v>
      </c>
      <c r="P31" s="4">
        <v>0</v>
      </c>
      <c r="Q31" s="4">
        <v>0</v>
      </c>
      <c r="R31" s="4">
        <v>0</v>
      </c>
      <c r="S31" s="4">
        <v>20</v>
      </c>
      <c r="T31" s="4">
        <v>8</v>
      </c>
      <c r="U31" s="4">
        <v>8</v>
      </c>
      <c r="V31" s="4">
        <v>0</v>
      </c>
      <c r="W31" s="4"/>
      <c r="X31" s="4"/>
      <c r="Y31" s="4">
        <v>6</v>
      </c>
      <c r="Z31" s="4">
        <v>10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20">
        <f t="shared" si="0"/>
        <v>174</v>
      </c>
      <c r="AM31" s="20">
        <f t="shared" si="1"/>
        <v>168</v>
      </c>
      <c r="AN31" s="20">
        <f t="shared" si="2"/>
        <v>0</v>
      </c>
      <c r="AO31" s="20">
        <f t="shared" si="3"/>
        <v>0</v>
      </c>
      <c r="AP31" s="20">
        <f t="shared" si="4"/>
        <v>0</v>
      </c>
      <c r="AQ31" s="20">
        <f t="shared" si="5"/>
        <v>20</v>
      </c>
      <c r="AR31" s="20">
        <f t="shared" si="6"/>
        <v>8</v>
      </c>
      <c r="AS31" s="20">
        <f t="shared" si="7"/>
        <v>8</v>
      </c>
      <c r="AT31" s="20">
        <f t="shared" si="8"/>
        <v>0</v>
      </c>
      <c r="AU31" s="20">
        <f t="shared" si="9"/>
        <v>0</v>
      </c>
      <c r="AV31" s="20">
        <f t="shared" si="10"/>
        <v>0</v>
      </c>
      <c r="AW31" s="20">
        <f t="shared" si="11"/>
        <v>6</v>
      </c>
      <c r="AX31" s="4">
        <v>3424</v>
      </c>
      <c r="AY31" s="4">
        <v>3567</v>
      </c>
      <c r="AZ31" s="4">
        <v>326</v>
      </c>
      <c r="BA31" s="4">
        <v>49</v>
      </c>
      <c r="BB31" s="4">
        <v>93</v>
      </c>
      <c r="BC31" s="4">
        <v>522</v>
      </c>
      <c r="BD31" s="4">
        <v>379</v>
      </c>
      <c r="BE31" s="4">
        <v>196</v>
      </c>
      <c r="BF31" s="4">
        <v>3642</v>
      </c>
      <c r="BG31" s="4">
        <v>1924</v>
      </c>
      <c r="BH31" s="4">
        <v>243</v>
      </c>
      <c r="BI31" s="4">
        <v>178</v>
      </c>
      <c r="BJ31" s="4">
        <v>184</v>
      </c>
      <c r="BK31" s="4">
        <v>0</v>
      </c>
      <c r="BL31" s="4">
        <v>0</v>
      </c>
      <c r="BM31" s="4">
        <v>0</v>
      </c>
      <c r="BN31" s="4">
        <v>18</v>
      </c>
      <c r="BO31" s="4">
        <v>4</v>
      </c>
      <c r="BP31" s="4">
        <v>198</v>
      </c>
      <c r="BQ31" s="4">
        <v>8</v>
      </c>
      <c r="BR31" s="4">
        <v>157</v>
      </c>
      <c r="BS31" s="4">
        <v>65</v>
      </c>
      <c r="BT31" s="4">
        <v>13</v>
      </c>
      <c r="BU31" s="4">
        <v>13</v>
      </c>
      <c r="BV31" s="4">
        <v>22</v>
      </c>
      <c r="BW31" s="4">
        <v>0</v>
      </c>
      <c r="BX31" s="4">
        <v>0</v>
      </c>
      <c r="BY31" s="4">
        <v>0</v>
      </c>
      <c r="BZ31" s="4">
        <v>4</v>
      </c>
      <c r="CA31" s="4">
        <v>0</v>
      </c>
      <c r="CB31" s="4">
        <v>28</v>
      </c>
      <c r="CC31" s="4">
        <v>1</v>
      </c>
      <c r="CD31" s="4">
        <v>11</v>
      </c>
      <c r="CE31" s="4">
        <v>11</v>
      </c>
      <c r="CF31" s="4">
        <v>14</v>
      </c>
      <c r="CG31" s="4">
        <f t="shared" si="13"/>
        <v>191</v>
      </c>
      <c r="CH31" s="4">
        <f t="shared" si="14"/>
        <v>206</v>
      </c>
      <c r="CI31" s="4">
        <f t="shared" si="15"/>
        <v>0</v>
      </c>
      <c r="CJ31" s="4">
        <f t="shared" si="16"/>
        <v>0</v>
      </c>
      <c r="CK31" s="4">
        <f t="shared" si="17"/>
        <v>0</v>
      </c>
      <c r="CL31" s="4">
        <f t="shared" si="18"/>
        <v>22</v>
      </c>
      <c r="CM31" s="4">
        <f t="shared" si="19"/>
        <v>4</v>
      </c>
      <c r="CN31" s="4">
        <f t="shared" si="20"/>
        <v>226</v>
      </c>
      <c r="CO31" s="4">
        <f t="shared" si="21"/>
        <v>9</v>
      </c>
      <c r="CP31" s="4">
        <f t="shared" si="22"/>
        <v>168</v>
      </c>
      <c r="CQ31" s="4">
        <f t="shared" si="23"/>
        <v>76</v>
      </c>
      <c r="CR31" s="20">
        <f t="shared" si="24"/>
        <v>27</v>
      </c>
    </row>
    <row r="32" spans="1:96" x14ac:dyDescent="0.25">
      <c r="A32" s="5" t="s">
        <v>62</v>
      </c>
      <c r="B32" s="5" t="s">
        <v>63</v>
      </c>
      <c r="C32" s="5">
        <v>10771</v>
      </c>
      <c r="D32" s="5">
        <v>9026</v>
      </c>
      <c r="E32" s="5">
        <v>266</v>
      </c>
      <c r="F32" s="5">
        <v>2881</v>
      </c>
      <c r="G32" s="5">
        <v>3175</v>
      </c>
      <c r="H32" s="5">
        <v>25</v>
      </c>
      <c r="I32" s="5">
        <v>54</v>
      </c>
      <c r="J32" s="5">
        <v>68</v>
      </c>
      <c r="K32" s="5">
        <v>299</v>
      </c>
      <c r="L32" s="5">
        <v>337</v>
      </c>
      <c r="M32" s="5">
        <v>102</v>
      </c>
      <c r="N32" s="5">
        <v>92</v>
      </c>
      <c r="O32" s="5">
        <v>92</v>
      </c>
      <c r="P32" s="5">
        <v>0</v>
      </c>
      <c r="Q32" s="5">
        <v>0</v>
      </c>
      <c r="R32" s="5">
        <v>0</v>
      </c>
      <c r="S32" s="5">
        <v>36</v>
      </c>
      <c r="T32" s="5">
        <v>9</v>
      </c>
      <c r="U32" s="5">
        <v>4</v>
      </c>
      <c r="V32" s="5">
        <v>0</v>
      </c>
      <c r="W32" s="5"/>
      <c r="X32" s="5"/>
      <c r="Y32" s="5">
        <v>8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19">
        <f t="shared" si="0"/>
        <v>92</v>
      </c>
      <c r="AM32" s="19">
        <f t="shared" si="1"/>
        <v>92</v>
      </c>
      <c r="AN32" s="19">
        <f t="shared" si="2"/>
        <v>0</v>
      </c>
      <c r="AO32" s="19">
        <f t="shared" si="3"/>
        <v>0</v>
      </c>
      <c r="AP32" s="19">
        <f t="shared" si="4"/>
        <v>0</v>
      </c>
      <c r="AQ32" s="19">
        <f t="shared" si="5"/>
        <v>36</v>
      </c>
      <c r="AR32" s="19">
        <f t="shared" si="6"/>
        <v>9</v>
      </c>
      <c r="AS32" s="19">
        <f t="shared" si="7"/>
        <v>4</v>
      </c>
      <c r="AT32" s="19">
        <f t="shared" si="8"/>
        <v>0</v>
      </c>
      <c r="AU32" s="19">
        <f t="shared" si="9"/>
        <v>0</v>
      </c>
      <c r="AV32" s="19">
        <f t="shared" si="10"/>
        <v>0</v>
      </c>
      <c r="AW32" s="19">
        <f t="shared" si="11"/>
        <v>8</v>
      </c>
      <c r="AX32" s="5">
        <v>2976</v>
      </c>
      <c r="AY32" s="5">
        <v>3276</v>
      </c>
      <c r="AZ32" s="5">
        <v>70</v>
      </c>
      <c r="BA32" s="5">
        <v>31</v>
      </c>
      <c r="BB32" s="5">
        <v>71</v>
      </c>
      <c r="BC32" s="5">
        <v>322</v>
      </c>
      <c r="BD32" s="5">
        <v>335</v>
      </c>
      <c r="BE32" s="5">
        <v>108</v>
      </c>
      <c r="BF32" s="5">
        <v>3175</v>
      </c>
      <c r="BG32" s="5">
        <v>809</v>
      </c>
      <c r="BH32" s="5">
        <v>90</v>
      </c>
      <c r="BI32" s="5">
        <v>99</v>
      </c>
      <c r="BJ32" s="5">
        <v>99</v>
      </c>
      <c r="BK32" s="5">
        <v>0</v>
      </c>
      <c r="BL32" s="5">
        <v>0</v>
      </c>
      <c r="BM32" s="19">
        <v>0</v>
      </c>
      <c r="BN32" s="19">
        <v>32</v>
      </c>
      <c r="BO32" s="5">
        <v>5</v>
      </c>
      <c r="BP32" s="5">
        <v>97</v>
      </c>
      <c r="BQ32" s="5">
        <v>5</v>
      </c>
      <c r="BR32" s="5">
        <v>64</v>
      </c>
      <c r="BS32" s="5">
        <v>26</v>
      </c>
      <c r="BT32" s="5">
        <v>9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f t="shared" si="13"/>
        <v>99</v>
      </c>
      <c r="CH32" s="5">
        <f t="shared" si="14"/>
        <v>99</v>
      </c>
      <c r="CI32" s="5">
        <f t="shared" si="15"/>
        <v>0</v>
      </c>
      <c r="CJ32" s="5">
        <f t="shared" si="16"/>
        <v>0</v>
      </c>
      <c r="CK32" s="5">
        <f t="shared" si="17"/>
        <v>0</v>
      </c>
      <c r="CL32" s="5">
        <f t="shared" si="18"/>
        <v>32</v>
      </c>
      <c r="CM32" s="5">
        <f t="shared" si="19"/>
        <v>5</v>
      </c>
      <c r="CN32" s="5">
        <f t="shared" si="20"/>
        <v>97</v>
      </c>
      <c r="CO32" s="5">
        <f t="shared" si="21"/>
        <v>5</v>
      </c>
      <c r="CP32" s="5">
        <f t="shared" si="22"/>
        <v>64</v>
      </c>
      <c r="CQ32" s="5">
        <f t="shared" si="23"/>
        <v>26</v>
      </c>
      <c r="CR32" s="19">
        <f t="shared" si="24"/>
        <v>9</v>
      </c>
    </row>
    <row r="33" spans="1:96" x14ac:dyDescent="0.25">
      <c r="A33" s="4" t="s">
        <v>52</v>
      </c>
      <c r="B33" s="4" t="s">
        <v>64</v>
      </c>
      <c r="C33" s="4">
        <v>3041</v>
      </c>
      <c r="D33" s="4">
        <v>2409</v>
      </c>
      <c r="E33" s="4">
        <v>75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/>
      <c r="X33" s="4"/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20">
        <f t="shared" si="0"/>
        <v>0</v>
      </c>
      <c r="AM33" s="20">
        <f t="shared" si="1"/>
        <v>0</v>
      </c>
      <c r="AN33" s="20">
        <f t="shared" si="2"/>
        <v>0</v>
      </c>
      <c r="AO33" s="20">
        <f t="shared" si="3"/>
        <v>0</v>
      </c>
      <c r="AP33" s="20">
        <f t="shared" si="4"/>
        <v>0</v>
      </c>
      <c r="AQ33" s="20">
        <f t="shared" si="5"/>
        <v>0</v>
      </c>
      <c r="AR33" s="20">
        <f t="shared" si="6"/>
        <v>0</v>
      </c>
      <c r="AS33" s="20">
        <f t="shared" si="7"/>
        <v>0</v>
      </c>
      <c r="AT33" s="20">
        <f t="shared" si="8"/>
        <v>0</v>
      </c>
      <c r="AU33" s="20">
        <f t="shared" si="9"/>
        <v>0</v>
      </c>
      <c r="AV33" s="20">
        <f t="shared" si="10"/>
        <v>0</v>
      </c>
      <c r="AW33" s="20">
        <f t="shared" si="11"/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f t="shared" si="13"/>
        <v>0</v>
      </c>
      <c r="CH33" s="4">
        <f t="shared" si="14"/>
        <v>0</v>
      </c>
      <c r="CI33" s="4">
        <f t="shared" si="15"/>
        <v>0</v>
      </c>
      <c r="CJ33" s="4">
        <f t="shared" si="16"/>
        <v>0</v>
      </c>
      <c r="CK33" s="4">
        <f t="shared" si="17"/>
        <v>0</v>
      </c>
      <c r="CL33" s="4">
        <f t="shared" si="18"/>
        <v>0</v>
      </c>
      <c r="CM33" s="4">
        <f t="shared" si="19"/>
        <v>0</v>
      </c>
      <c r="CN33" s="4">
        <f t="shared" si="20"/>
        <v>0</v>
      </c>
      <c r="CO33" s="4">
        <f t="shared" si="21"/>
        <v>0</v>
      </c>
      <c r="CP33" s="4">
        <f t="shared" si="22"/>
        <v>0</v>
      </c>
      <c r="CQ33" s="4">
        <f t="shared" si="23"/>
        <v>0</v>
      </c>
      <c r="CR33" s="20">
        <f t="shared" si="24"/>
        <v>0</v>
      </c>
    </row>
    <row r="34" spans="1:96" x14ac:dyDescent="0.25">
      <c r="A34" s="5" t="s">
        <v>65</v>
      </c>
      <c r="B34" s="5" t="s">
        <v>66</v>
      </c>
      <c r="C34" s="5">
        <v>9485</v>
      </c>
      <c r="D34" s="5">
        <v>8435</v>
      </c>
      <c r="E34" s="5">
        <v>269</v>
      </c>
      <c r="F34" s="5">
        <v>193</v>
      </c>
      <c r="G34" s="5">
        <v>207</v>
      </c>
      <c r="H34" s="5">
        <v>0</v>
      </c>
      <c r="I34" s="5">
        <v>24</v>
      </c>
      <c r="J34" s="5">
        <v>0</v>
      </c>
      <c r="K34" s="5">
        <v>2</v>
      </c>
      <c r="L34" s="5">
        <v>0</v>
      </c>
      <c r="M34" s="5">
        <v>1</v>
      </c>
      <c r="N34" s="5">
        <v>43</v>
      </c>
      <c r="O34" s="5">
        <v>41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/>
      <c r="X34" s="5"/>
      <c r="Y34" s="5">
        <v>1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19">
        <f t="shared" si="0"/>
        <v>43</v>
      </c>
      <c r="AM34" s="19">
        <f t="shared" si="1"/>
        <v>41</v>
      </c>
      <c r="AN34" s="19">
        <f t="shared" si="2"/>
        <v>0</v>
      </c>
      <c r="AO34" s="19">
        <f t="shared" si="3"/>
        <v>0</v>
      </c>
      <c r="AP34" s="19">
        <f t="shared" si="4"/>
        <v>0</v>
      </c>
      <c r="AQ34" s="19">
        <f t="shared" si="5"/>
        <v>0</v>
      </c>
      <c r="AR34" s="19">
        <f t="shared" si="6"/>
        <v>0</v>
      </c>
      <c r="AS34" s="19">
        <f t="shared" si="7"/>
        <v>0</v>
      </c>
      <c r="AT34" s="19">
        <f t="shared" si="8"/>
        <v>0</v>
      </c>
      <c r="AU34" s="19">
        <f t="shared" si="9"/>
        <v>0</v>
      </c>
      <c r="AV34" s="19">
        <f t="shared" si="10"/>
        <v>0</v>
      </c>
      <c r="AW34" s="19">
        <f t="shared" si="11"/>
        <v>1</v>
      </c>
      <c r="AX34" s="5">
        <v>389</v>
      </c>
      <c r="AY34" s="5">
        <v>418</v>
      </c>
      <c r="AZ34" s="5">
        <v>52</v>
      </c>
      <c r="BA34" s="5">
        <v>3</v>
      </c>
      <c r="BB34" s="5">
        <v>0</v>
      </c>
      <c r="BC34" s="5">
        <v>4</v>
      </c>
      <c r="BD34" s="5">
        <v>3</v>
      </c>
      <c r="BE34" s="5">
        <v>3</v>
      </c>
      <c r="BF34" s="5">
        <v>380</v>
      </c>
      <c r="BG34" s="5">
        <v>187</v>
      </c>
      <c r="BH34" s="5">
        <v>1</v>
      </c>
      <c r="BI34" s="5">
        <v>79</v>
      </c>
      <c r="BJ34" s="5">
        <v>80</v>
      </c>
      <c r="BK34" s="5">
        <v>0</v>
      </c>
      <c r="BL34" s="5">
        <v>0</v>
      </c>
      <c r="BM34" s="19">
        <v>0</v>
      </c>
      <c r="BN34" s="19">
        <v>0</v>
      </c>
      <c r="BO34" s="5">
        <v>0</v>
      </c>
      <c r="BP34" s="5">
        <v>77</v>
      </c>
      <c r="BQ34" s="5">
        <v>0</v>
      </c>
      <c r="BR34" s="5">
        <v>74</v>
      </c>
      <c r="BS34" s="5">
        <v>41</v>
      </c>
      <c r="BT34" s="5">
        <v>3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f t="shared" si="13"/>
        <v>79</v>
      </c>
      <c r="CH34" s="5">
        <f t="shared" si="14"/>
        <v>80</v>
      </c>
      <c r="CI34" s="5">
        <f t="shared" si="15"/>
        <v>0</v>
      </c>
      <c r="CJ34" s="5">
        <f t="shared" si="16"/>
        <v>0</v>
      </c>
      <c r="CK34" s="5">
        <f t="shared" si="17"/>
        <v>0</v>
      </c>
      <c r="CL34" s="5">
        <f t="shared" si="18"/>
        <v>0</v>
      </c>
      <c r="CM34" s="5">
        <f t="shared" si="19"/>
        <v>0</v>
      </c>
      <c r="CN34" s="5">
        <f t="shared" si="20"/>
        <v>77</v>
      </c>
      <c r="CO34" s="5">
        <f t="shared" si="21"/>
        <v>0</v>
      </c>
      <c r="CP34" s="5">
        <f t="shared" si="22"/>
        <v>74</v>
      </c>
      <c r="CQ34" s="5">
        <f t="shared" si="23"/>
        <v>41</v>
      </c>
      <c r="CR34" s="19">
        <f t="shared" si="24"/>
        <v>3</v>
      </c>
    </row>
    <row r="35" spans="1:96" x14ac:dyDescent="0.25">
      <c r="A35" s="4" t="s">
        <v>67</v>
      </c>
      <c r="B35" s="4" t="s">
        <v>68</v>
      </c>
      <c r="C35" s="4">
        <v>3385</v>
      </c>
      <c r="D35" s="4">
        <v>2940</v>
      </c>
      <c r="E35" s="4">
        <v>93</v>
      </c>
      <c r="F35" s="4">
        <v>39</v>
      </c>
      <c r="G35" s="4">
        <v>41</v>
      </c>
      <c r="H35" s="4">
        <v>0</v>
      </c>
      <c r="I35" s="4">
        <v>2</v>
      </c>
      <c r="J35" s="4">
        <v>0</v>
      </c>
      <c r="K35" s="4">
        <v>0</v>
      </c>
      <c r="L35" s="4">
        <v>0</v>
      </c>
      <c r="M35" s="4">
        <v>0</v>
      </c>
      <c r="N35" s="4">
        <v>6</v>
      </c>
      <c r="O35" s="4">
        <v>5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/>
      <c r="X35" s="4"/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20">
        <f t="shared" si="0"/>
        <v>6</v>
      </c>
      <c r="AM35" s="20">
        <f t="shared" si="1"/>
        <v>5</v>
      </c>
      <c r="AN35" s="20">
        <f t="shared" si="2"/>
        <v>0</v>
      </c>
      <c r="AO35" s="20">
        <f t="shared" si="3"/>
        <v>0</v>
      </c>
      <c r="AP35" s="20">
        <f t="shared" si="4"/>
        <v>0</v>
      </c>
      <c r="AQ35" s="20">
        <f t="shared" si="5"/>
        <v>0</v>
      </c>
      <c r="AR35" s="20">
        <f t="shared" si="6"/>
        <v>0</v>
      </c>
      <c r="AS35" s="20">
        <f t="shared" si="7"/>
        <v>0</v>
      </c>
      <c r="AT35" s="20">
        <f t="shared" si="8"/>
        <v>0</v>
      </c>
      <c r="AU35" s="20">
        <f t="shared" si="9"/>
        <v>0</v>
      </c>
      <c r="AV35" s="20">
        <f t="shared" si="10"/>
        <v>0</v>
      </c>
      <c r="AW35" s="20">
        <f t="shared" si="11"/>
        <v>0</v>
      </c>
      <c r="AX35" s="4">
        <v>184</v>
      </c>
      <c r="AY35" s="4">
        <v>190</v>
      </c>
      <c r="AZ35" s="4">
        <v>5</v>
      </c>
      <c r="BA35" s="4">
        <v>0</v>
      </c>
      <c r="BB35" s="4">
        <v>0</v>
      </c>
      <c r="BC35" s="4">
        <v>1</v>
      </c>
      <c r="BD35" s="4">
        <v>1</v>
      </c>
      <c r="BE35" s="4">
        <v>1</v>
      </c>
      <c r="BF35" s="4">
        <v>180</v>
      </c>
      <c r="BG35" s="4">
        <v>138</v>
      </c>
      <c r="BH35" s="4">
        <v>138</v>
      </c>
      <c r="BI35" s="4">
        <v>26</v>
      </c>
      <c r="BJ35" s="4">
        <v>27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26</v>
      </c>
      <c r="BQ35" s="4">
        <v>0</v>
      </c>
      <c r="BR35" s="4">
        <v>24</v>
      </c>
      <c r="BS35" s="4">
        <v>24</v>
      </c>
      <c r="BT35" s="4">
        <v>6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f t="shared" si="13"/>
        <v>26</v>
      </c>
      <c r="CH35" s="4">
        <f t="shared" si="14"/>
        <v>27</v>
      </c>
      <c r="CI35" s="4">
        <f t="shared" si="15"/>
        <v>0</v>
      </c>
      <c r="CJ35" s="4">
        <f t="shared" si="16"/>
        <v>0</v>
      </c>
      <c r="CK35" s="4">
        <f t="shared" si="17"/>
        <v>0</v>
      </c>
      <c r="CL35" s="4">
        <f t="shared" si="18"/>
        <v>0</v>
      </c>
      <c r="CM35" s="4">
        <f t="shared" si="19"/>
        <v>0</v>
      </c>
      <c r="CN35" s="4">
        <f t="shared" si="20"/>
        <v>26</v>
      </c>
      <c r="CO35" s="4">
        <f t="shared" si="21"/>
        <v>0</v>
      </c>
      <c r="CP35" s="4">
        <f t="shared" si="22"/>
        <v>24</v>
      </c>
      <c r="CQ35" s="4">
        <f t="shared" si="23"/>
        <v>24</v>
      </c>
      <c r="CR35" s="20">
        <f t="shared" si="24"/>
        <v>6</v>
      </c>
    </row>
    <row r="36" spans="1:96" x14ac:dyDescent="0.25">
      <c r="A36" s="5" t="s">
        <v>52</v>
      </c>
      <c r="B36" s="5" t="s">
        <v>69</v>
      </c>
      <c r="C36" s="5">
        <v>4493</v>
      </c>
      <c r="D36" s="5">
        <v>3426</v>
      </c>
      <c r="E36" s="5">
        <v>122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/>
      <c r="X36" s="5"/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19">
        <f t="shared" si="0"/>
        <v>0</v>
      </c>
      <c r="AM36" s="19">
        <f t="shared" si="1"/>
        <v>0</v>
      </c>
      <c r="AN36" s="19">
        <f t="shared" si="2"/>
        <v>0</v>
      </c>
      <c r="AO36" s="19">
        <f t="shared" si="3"/>
        <v>0</v>
      </c>
      <c r="AP36" s="19">
        <f t="shared" si="4"/>
        <v>0</v>
      </c>
      <c r="AQ36" s="19">
        <f t="shared" si="5"/>
        <v>0</v>
      </c>
      <c r="AR36" s="19">
        <f t="shared" si="6"/>
        <v>0</v>
      </c>
      <c r="AS36" s="19">
        <f t="shared" si="7"/>
        <v>0</v>
      </c>
      <c r="AT36" s="19">
        <f t="shared" si="8"/>
        <v>0</v>
      </c>
      <c r="AU36" s="19">
        <f t="shared" si="9"/>
        <v>0</v>
      </c>
      <c r="AV36" s="19">
        <f t="shared" si="10"/>
        <v>0</v>
      </c>
      <c r="AW36" s="19">
        <f t="shared" si="11"/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19">
        <v>0</v>
      </c>
      <c r="BN36" s="19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f t="shared" si="13"/>
        <v>0</v>
      </c>
      <c r="CH36" s="5">
        <f t="shared" si="14"/>
        <v>0</v>
      </c>
      <c r="CI36" s="5">
        <f t="shared" si="15"/>
        <v>0</v>
      </c>
      <c r="CJ36" s="5">
        <f t="shared" si="16"/>
        <v>0</v>
      </c>
      <c r="CK36" s="5">
        <f t="shared" si="17"/>
        <v>0</v>
      </c>
      <c r="CL36" s="5">
        <f t="shared" si="18"/>
        <v>0</v>
      </c>
      <c r="CM36" s="5">
        <f t="shared" si="19"/>
        <v>0</v>
      </c>
      <c r="CN36" s="5">
        <f t="shared" si="20"/>
        <v>0</v>
      </c>
      <c r="CO36" s="5">
        <f t="shared" si="21"/>
        <v>0</v>
      </c>
      <c r="CP36" s="5">
        <f t="shared" si="22"/>
        <v>0</v>
      </c>
      <c r="CQ36" s="5">
        <f t="shared" si="23"/>
        <v>0</v>
      </c>
      <c r="CR36" s="19">
        <f t="shared" si="24"/>
        <v>0</v>
      </c>
    </row>
    <row r="37" spans="1:96" x14ac:dyDescent="0.25">
      <c r="A37" s="4" t="s">
        <v>52</v>
      </c>
      <c r="B37" s="4" t="s">
        <v>70</v>
      </c>
      <c r="C37" s="4">
        <v>3943</v>
      </c>
      <c r="D37" s="4">
        <v>3266</v>
      </c>
      <c r="E37" s="4">
        <v>77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/>
      <c r="X37" s="4"/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20">
        <f t="shared" si="0"/>
        <v>0</v>
      </c>
      <c r="AM37" s="20">
        <f t="shared" si="1"/>
        <v>0</v>
      </c>
      <c r="AN37" s="20">
        <f t="shared" si="2"/>
        <v>0</v>
      </c>
      <c r="AO37" s="20">
        <f t="shared" si="3"/>
        <v>0</v>
      </c>
      <c r="AP37" s="20">
        <f t="shared" si="4"/>
        <v>0</v>
      </c>
      <c r="AQ37" s="20">
        <f t="shared" si="5"/>
        <v>0</v>
      </c>
      <c r="AR37" s="20">
        <f t="shared" si="6"/>
        <v>0</v>
      </c>
      <c r="AS37" s="20">
        <f t="shared" si="7"/>
        <v>0</v>
      </c>
      <c r="AT37" s="20">
        <f t="shared" si="8"/>
        <v>0</v>
      </c>
      <c r="AU37" s="20">
        <f t="shared" si="9"/>
        <v>0</v>
      </c>
      <c r="AV37" s="20">
        <f t="shared" si="10"/>
        <v>0</v>
      </c>
      <c r="AW37" s="20">
        <f t="shared" si="11"/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f t="shared" si="13"/>
        <v>0</v>
      </c>
      <c r="CH37" s="4">
        <f t="shared" si="14"/>
        <v>0</v>
      </c>
      <c r="CI37" s="4">
        <f t="shared" si="15"/>
        <v>0</v>
      </c>
      <c r="CJ37" s="4">
        <f t="shared" si="16"/>
        <v>0</v>
      </c>
      <c r="CK37" s="4">
        <f t="shared" si="17"/>
        <v>0</v>
      </c>
      <c r="CL37" s="4">
        <f t="shared" si="18"/>
        <v>0</v>
      </c>
      <c r="CM37" s="4">
        <f t="shared" si="19"/>
        <v>0</v>
      </c>
      <c r="CN37" s="4">
        <f t="shared" si="20"/>
        <v>0</v>
      </c>
      <c r="CO37" s="4">
        <f t="shared" si="21"/>
        <v>0</v>
      </c>
      <c r="CP37" s="4">
        <f t="shared" si="22"/>
        <v>0</v>
      </c>
      <c r="CQ37" s="4">
        <f t="shared" si="23"/>
        <v>0</v>
      </c>
      <c r="CR37" s="20">
        <f t="shared" si="24"/>
        <v>0</v>
      </c>
    </row>
    <row r="38" spans="1:96" x14ac:dyDescent="0.25">
      <c r="A38" s="5" t="s">
        <v>52</v>
      </c>
      <c r="B38" s="5" t="s">
        <v>71</v>
      </c>
      <c r="C38" s="5">
        <v>3240</v>
      </c>
      <c r="D38" s="5">
        <v>2762</v>
      </c>
      <c r="E38" s="5">
        <v>84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/>
      <c r="X38" s="5"/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19">
        <f t="shared" si="0"/>
        <v>0</v>
      </c>
      <c r="AM38" s="19">
        <f t="shared" si="1"/>
        <v>0</v>
      </c>
      <c r="AN38" s="19">
        <f t="shared" si="2"/>
        <v>0</v>
      </c>
      <c r="AO38" s="19">
        <f t="shared" si="3"/>
        <v>0</v>
      </c>
      <c r="AP38" s="19">
        <f t="shared" si="4"/>
        <v>0</v>
      </c>
      <c r="AQ38" s="19">
        <f t="shared" si="5"/>
        <v>0</v>
      </c>
      <c r="AR38" s="19">
        <f t="shared" si="6"/>
        <v>0</v>
      </c>
      <c r="AS38" s="19">
        <f t="shared" si="7"/>
        <v>0</v>
      </c>
      <c r="AT38" s="19">
        <f t="shared" si="8"/>
        <v>0</v>
      </c>
      <c r="AU38" s="19">
        <f t="shared" si="9"/>
        <v>0</v>
      </c>
      <c r="AV38" s="19">
        <f t="shared" si="10"/>
        <v>0</v>
      </c>
      <c r="AW38" s="19">
        <f t="shared" si="11"/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19">
        <v>0</v>
      </c>
      <c r="BN38" s="19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f t="shared" si="13"/>
        <v>0</v>
      </c>
      <c r="CH38" s="5">
        <f t="shared" si="14"/>
        <v>0</v>
      </c>
      <c r="CI38" s="5">
        <f t="shared" si="15"/>
        <v>0</v>
      </c>
      <c r="CJ38" s="5">
        <f t="shared" si="16"/>
        <v>0</v>
      </c>
      <c r="CK38" s="5">
        <f t="shared" si="17"/>
        <v>0</v>
      </c>
      <c r="CL38" s="5">
        <f t="shared" si="18"/>
        <v>0</v>
      </c>
      <c r="CM38" s="5">
        <f t="shared" si="19"/>
        <v>0</v>
      </c>
      <c r="CN38" s="5">
        <f t="shared" si="20"/>
        <v>0</v>
      </c>
      <c r="CO38" s="5">
        <f t="shared" si="21"/>
        <v>0</v>
      </c>
      <c r="CP38" s="5">
        <f t="shared" si="22"/>
        <v>0</v>
      </c>
      <c r="CQ38" s="5">
        <f t="shared" si="23"/>
        <v>0</v>
      </c>
      <c r="CR38" s="19">
        <f t="shared" si="24"/>
        <v>0</v>
      </c>
    </row>
    <row r="39" spans="1:96" x14ac:dyDescent="0.25">
      <c r="A39" s="4" t="s">
        <v>52</v>
      </c>
      <c r="B39" s="4" t="s">
        <v>72</v>
      </c>
      <c r="C39" s="4">
        <v>2867</v>
      </c>
      <c r="D39" s="4">
        <v>2490</v>
      </c>
      <c r="E39" s="4">
        <v>134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/>
      <c r="X39" s="4"/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20">
        <f t="shared" si="0"/>
        <v>0</v>
      </c>
      <c r="AM39" s="20">
        <f t="shared" si="1"/>
        <v>0</v>
      </c>
      <c r="AN39" s="20">
        <f t="shared" si="2"/>
        <v>0</v>
      </c>
      <c r="AO39" s="20">
        <f t="shared" si="3"/>
        <v>0</v>
      </c>
      <c r="AP39" s="20">
        <f t="shared" si="4"/>
        <v>0</v>
      </c>
      <c r="AQ39" s="20">
        <f t="shared" si="5"/>
        <v>0</v>
      </c>
      <c r="AR39" s="20">
        <f t="shared" si="6"/>
        <v>0</v>
      </c>
      <c r="AS39" s="20">
        <f t="shared" si="7"/>
        <v>0</v>
      </c>
      <c r="AT39" s="20">
        <f t="shared" si="8"/>
        <v>0</v>
      </c>
      <c r="AU39" s="20">
        <f t="shared" si="9"/>
        <v>0</v>
      </c>
      <c r="AV39" s="20">
        <f t="shared" si="10"/>
        <v>0</v>
      </c>
      <c r="AW39" s="20">
        <f t="shared" si="11"/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f t="shared" si="13"/>
        <v>0</v>
      </c>
      <c r="CH39" s="4">
        <f t="shared" si="14"/>
        <v>0</v>
      </c>
      <c r="CI39" s="4">
        <f t="shared" si="15"/>
        <v>0</v>
      </c>
      <c r="CJ39" s="4">
        <f t="shared" si="16"/>
        <v>0</v>
      </c>
      <c r="CK39" s="4">
        <f t="shared" si="17"/>
        <v>0</v>
      </c>
      <c r="CL39" s="4">
        <f t="shared" si="18"/>
        <v>0</v>
      </c>
      <c r="CM39" s="4">
        <f t="shared" si="19"/>
        <v>0</v>
      </c>
      <c r="CN39" s="4">
        <f t="shared" si="20"/>
        <v>0</v>
      </c>
      <c r="CO39" s="4">
        <f t="shared" si="21"/>
        <v>0</v>
      </c>
      <c r="CP39" s="4">
        <f t="shared" si="22"/>
        <v>0</v>
      </c>
      <c r="CQ39" s="4">
        <f t="shared" si="23"/>
        <v>0</v>
      </c>
      <c r="CR39" s="20">
        <f t="shared" si="24"/>
        <v>0</v>
      </c>
    </row>
    <row r="40" spans="1:96" x14ac:dyDescent="0.25">
      <c r="A40" s="5" t="s">
        <v>52</v>
      </c>
      <c r="B40" s="5" t="s">
        <v>73</v>
      </c>
      <c r="C40" s="5">
        <v>2481</v>
      </c>
      <c r="D40" s="5">
        <v>2078</v>
      </c>
      <c r="E40" s="5">
        <v>35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/>
      <c r="X40" s="5"/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19">
        <f t="shared" si="0"/>
        <v>0</v>
      </c>
      <c r="AM40" s="19">
        <f t="shared" si="1"/>
        <v>0</v>
      </c>
      <c r="AN40" s="19">
        <f t="shared" si="2"/>
        <v>0</v>
      </c>
      <c r="AO40" s="19">
        <f t="shared" si="3"/>
        <v>0</v>
      </c>
      <c r="AP40" s="19">
        <f t="shared" si="4"/>
        <v>0</v>
      </c>
      <c r="AQ40" s="19">
        <f t="shared" si="5"/>
        <v>0</v>
      </c>
      <c r="AR40" s="19">
        <f t="shared" si="6"/>
        <v>0</v>
      </c>
      <c r="AS40" s="19">
        <f t="shared" si="7"/>
        <v>0</v>
      </c>
      <c r="AT40" s="19">
        <f t="shared" si="8"/>
        <v>0</v>
      </c>
      <c r="AU40" s="19">
        <f t="shared" si="9"/>
        <v>0</v>
      </c>
      <c r="AV40" s="19">
        <f t="shared" si="10"/>
        <v>0</v>
      </c>
      <c r="AW40" s="19">
        <f t="shared" si="11"/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5">
        <v>0</v>
      </c>
      <c r="BK40" s="5">
        <v>0</v>
      </c>
      <c r="BL40" s="5">
        <v>0</v>
      </c>
      <c r="BM40" s="19">
        <v>0</v>
      </c>
      <c r="BN40" s="19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f t="shared" si="13"/>
        <v>0</v>
      </c>
      <c r="CH40" s="5">
        <f t="shared" si="14"/>
        <v>0</v>
      </c>
      <c r="CI40" s="5">
        <f t="shared" si="15"/>
        <v>0</v>
      </c>
      <c r="CJ40" s="5">
        <f t="shared" si="16"/>
        <v>0</v>
      </c>
      <c r="CK40" s="5">
        <f t="shared" si="17"/>
        <v>0</v>
      </c>
      <c r="CL40" s="5">
        <f t="shared" si="18"/>
        <v>0</v>
      </c>
      <c r="CM40" s="5">
        <f t="shared" si="19"/>
        <v>0</v>
      </c>
      <c r="CN40" s="5">
        <f t="shared" si="20"/>
        <v>0</v>
      </c>
      <c r="CO40" s="5">
        <f t="shared" si="21"/>
        <v>0</v>
      </c>
      <c r="CP40" s="5">
        <f t="shared" si="22"/>
        <v>0</v>
      </c>
      <c r="CQ40" s="5">
        <f t="shared" si="23"/>
        <v>0</v>
      </c>
      <c r="CR40" s="19">
        <f t="shared" si="24"/>
        <v>0</v>
      </c>
    </row>
    <row r="41" spans="1:96" ht="15.75" x14ac:dyDescent="0.25">
      <c r="A41" s="21"/>
      <c r="B41" s="21" t="s">
        <v>74</v>
      </c>
      <c r="C41" s="27">
        <f t="shared" ref="C41:M41" si="25">SUM(C3:C40)</f>
        <v>1602515</v>
      </c>
      <c r="D41" s="27">
        <f t="shared" si="25"/>
        <v>1252619</v>
      </c>
      <c r="E41" s="27">
        <f t="shared" si="25"/>
        <v>77712</v>
      </c>
      <c r="F41" s="27">
        <f t="shared" si="25"/>
        <v>231116</v>
      </c>
      <c r="G41" s="27">
        <f t="shared" si="25"/>
        <v>243503</v>
      </c>
      <c r="H41" s="27">
        <f t="shared" si="25"/>
        <v>13791</v>
      </c>
      <c r="I41" s="27">
        <f t="shared" si="25"/>
        <v>15274</v>
      </c>
      <c r="J41" s="27">
        <f t="shared" si="25"/>
        <v>9177</v>
      </c>
      <c r="K41" s="27">
        <f t="shared" si="25"/>
        <v>23101</v>
      </c>
      <c r="L41" s="27">
        <f t="shared" si="25"/>
        <v>23724</v>
      </c>
      <c r="M41" s="27">
        <f t="shared" si="25"/>
        <v>13214</v>
      </c>
      <c r="N41" s="27">
        <f t="shared" ref="N41:Y41" si="26">SUM(N3:N40)</f>
        <v>11627</v>
      </c>
      <c r="O41" s="27">
        <f t="shared" si="26"/>
        <v>12288</v>
      </c>
      <c r="P41" s="27">
        <f t="shared" si="26"/>
        <v>0</v>
      </c>
      <c r="Q41" s="27">
        <f t="shared" si="26"/>
        <v>38</v>
      </c>
      <c r="R41" s="27">
        <f t="shared" si="26"/>
        <v>149</v>
      </c>
      <c r="S41" s="27">
        <f t="shared" si="26"/>
        <v>2915</v>
      </c>
      <c r="T41" s="27">
        <f t="shared" si="26"/>
        <v>818</v>
      </c>
      <c r="U41" s="27">
        <f t="shared" si="26"/>
        <v>625</v>
      </c>
      <c r="V41" s="27">
        <f t="shared" si="26"/>
        <v>0</v>
      </c>
      <c r="W41" s="27"/>
      <c r="X41" s="27"/>
      <c r="Y41" s="27">
        <f t="shared" si="26"/>
        <v>1250</v>
      </c>
      <c r="Z41" s="27">
        <f t="shared" ref="Z41" si="27">SUM(Z3:Z40)</f>
        <v>1261</v>
      </c>
      <c r="AA41" s="27">
        <f t="shared" ref="AA41" si="28">SUM(AA3:AA40)</f>
        <v>150</v>
      </c>
      <c r="AB41" s="27">
        <f t="shared" ref="AB41" si="29">SUM(AB3:AB40)</f>
        <v>0</v>
      </c>
      <c r="AC41" s="27">
        <f t="shared" ref="AC41" si="30">SUM(AC3:AC40)</f>
        <v>73</v>
      </c>
      <c r="AD41" s="27">
        <f t="shared" ref="AD41" si="31">SUM(AD3:AD40)</f>
        <v>26</v>
      </c>
      <c r="AE41" s="27">
        <f t="shared" ref="AE41" si="32">SUM(AE3:AE40)</f>
        <v>54</v>
      </c>
      <c r="AF41" s="27">
        <f t="shared" ref="AF41" si="33">SUM(AF3:AF40)</f>
        <v>16</v>
      </c>
      <c r="AG41" s="27">
        <f t="shared" ref="AG41" si="34">SUM(AG3:AG40)</f>
        <v>23</v>
      </c>
      <c r="AH41" s="27">
        <f t="shared" ref="AH41" si="35">SUM(AH3:AH40)</f>
        <v>0</v>
      </c>
      <c r="AI41" s="27"/>
      <c r="AJ41" s="27"/>
      <c r="AK41" s="27">
        <f t="shared" ref="AK41" si="36">SUM(AK3:AK40)</f>
        <v>157</v>
      </c>
      <c r="AL41" s="27">
        <f t="shared" ref="AL41:AT41" si="37">SUM(AL3:AL40)</f>
        <v>12888</v>
      </c>
      <c r="AM41" s="27">
        <f t="shared" si="37"/>
        <v>12438</v>
      </c>
      <c r="AN41" s="27">
        <f t="shared" si="37"/>
        <v>0</v>
      </c>
      <c r="AO41" s="27">
        <f t="shared" si="37"/>
        <v>111</v>
      </c>
      <c r="AP41" s="27">
        <f t="shared" si="37"/>
        <v>175</v>
      </c>
      <c r="AQ41" s="27">
        <f t="shared" si="37"/>
        <v>2969</v>
      </c>
      <c r="AR41" s="27">
        <f t="shared" si="37"/>
        <v>834</v>
      </c>
      <c r="AS41" s="27">
        <f t="shared" si="37"/>
        <v>648</v>
      </c>
      <c r="AT41" s="27">
        <f t="shared" si="37"/>
        <v>0</v>
      </c>
      <c r="AU41" s="27"/>
      <c r="AV41" s="27"/>
      <c r="AW41" s="27">
        <f>SUM(AW3:AW40)</f>
        <v>1407</v>
      </c>
      <c r="AX41" s="27">
        <f t="shared" ref="AX41:BD41" si="38">SUM(AX3:AX40)</f>
        <v>240157</v>
      </c>
      <c r="AY41" s="27">
        <f t="shared" si="38"/>
        <v>256209</v>
      </c>
      <c r="AZ41" s="27">
        <f t="shared" si="38"/>
        <v>30615</v>
      </c>
      <c r="BA41" s="27">
        <f t="shared" si="38"/>
        <v>8647</v>
      </c>
      <c r="BB41" s="27">
        <f t="shared" si="38"/>
        <v>9381</v>
      </c>
      <c r="BC41" s="27">
        <f t="shared" si="38"/>
        <v>27260</v>
      </c>
      <c r="BD41" s="27">
        <f t="shared" si="38"/>
        <v>24107</v>
      </c>
      <c r="BE41" s="27">
        <f t="shared" ref="BE41:BH41" si="39">SUM(BE3:BE40)</f>
        <v>13761</v>
      </c>
      <c r="BF41" s="27">
        <f t="shared" si="39"/>
        <v>252960</v>
      </c>
      <c r="BG41" s="27">
        <f t="shared" si="39"/>
        <v>111588</v>
      </c>
      <c r="BH41" s="27">
        <f t="shared" si="39"/>
        <v>16367</v>
      </c>
      <c r="BI41" s="27">
        <f t="shared" ref="BI41" si="40">SUM(BI3:BI40)</f>
        <v>11850</v>
      </c>
      <c r="BJ41" s="27">
        <f t="shared" ref="BJ41" si="41">SUM(BJ3:BJ40)</f>
        <v>13128</v>
      </c>
      <c r="BK41" s="27">
        <f t="shared" ref="BK41" si="42">SUM(BK3:BK40)</f>
        <v>1</v>
      </c>
      <c r="BL41" s="27">
        <f t="shared" ref="BL41" si="43">SUM(BL3:BL40)</f>
        <v>48</v>
      </c>
      <c r="BM41" s="27">
        <f t="shared" ref="BM41" si="44">SUM(BM3:BM40)</f>
        <v>157</v>
      </c>
      <c r="BN41" s="27">
        <f t="shared" ref="BN41" si="45">SUM(BN3:BN40)</f>
        <v>2676</v>
      </c>
      <c r="BO41" s="27">
        <f t="shared" ref="BO41" si="46">SUM(BO3:BO40)</f>
        <v>939</v>
      </c>
      <c r="BP41" s="27">
        <f t="shared" ref="BP41" si="47">SUM(BP3:BP40)</f>
        <v>12359</v>
      </c>
      <c r="BQ41" s="27">
        <f t="shared" ref="BQ41" si="48">SUM(BQ3:BQ40)</f>
        <v>672</v>
      </c>
      <c r="BR41" s="27">
        <f t="shared" ref="BR41" si="49">SUM(BR3:BR40)</f>
        <v>9666</v>
      </c>
      <c r="BS41" s="27">
        <f t="shared" ref="BS41" si="50">SUM(BS3:BS40)</f>
        <v>6261</v>
      </c>
      <c r="BT41" s="27">
        <f>SUM(BT3:BT40)</f>
        <v>2009</v>
      </c>
      <c r="BU41" s="22">
        <f t="shared" ref="BU41" si="51">SUM(BU3:BU40)</f>
        <v>1319</v>
      </c>
      <c r="BV41" s="22">
        <f t="shared" ref="BV41" si="52">SUM(BV3:BV40)</f>
        <v>2402</v>
      </c>
      <c r="BW41" s="22">
        <f t="shared" ref="BW41" si="53">SUM(BW3:BW40)</f>
        <v>4</v>
      </c>
      <c r="BX41" s="22">
        <f t="shared" ref="BX41" si="54">SUM(BX3:BX40)</f>
        <v>100</v>
      </c>
      <c r="BY41" s="22">
        <f t="shared" ref="BY41" si="55">SUM(BY3:BY40)</f>
        <v>250</v>
      </c>
      <c r="BZ41" s="22">
        <f t="shared" ref="BZ41" si="56">SUM(BZ3:BZ40)</f>
        <v>779</v>
      </c>
      <c r="CA41" s="22">
        <f t="shared" ref="CA41" si="57">SUM(CA3:CA40)</f>
        <v>310</v>
      </c>
      <c r="CB41" s="22">
        <f t="shared" ref="CB41" si="58">SUM(CB3:CB40)</f>
        <v>1558</v>
      </c>
      <c r="CC41" s="22">
        <f t="shared" ref="CC41" si="59">SUM(CC3:CC40)</f>
        <v>298</v>
      </c>
      <c r="CD41" s="22">
        <f t="shared" ref="CD41" si="60">SUM(CD3:CD40)</f>
        <v>897</v>
      </c>
      <c r="CE41" s="22">
        <f t="shared" ref="CE41" si="61">SUM(CE3:CE40)</f>
        <v>1155</v>
      </c>
      <c r="CF41" s="22">
        <f>SUM(CF3:CF40)</f>
        <v>1810</v>
      </c>
      <c r="CG41" s="22">
        <f t="shared" ref="CG41" si="62">SUM(CG3:CG40)</f>
        <v>13169</v>
      </c>
      <c r="CH41" s="22">
        <f t="shared" ref="CH41" si="63">SUM(CH3:CH40)</f>
        <v>15530</v>
      </c>
      <c r="CI41" s="22">
        <f t="shared" ref="CI41" si="64">SUM(CI3:CI40)</f>
        <v>5</v>
      </c>
      <c r="CJ41" s="22">
        <f t="shared" ref="CJ41" si="65">SUM(CJ3:CJ40)</f>
        <v>148</v>
      </c>
      <c r="CK41" s="22">
        <f t="shared" ref="CK41" si="66">SUM(CK3:CK40)</f>
        <v>407</v>
      </c>
      <c r="CL41" s="22">
        <f t="shared" ref="CL41" si="67">SUM(CL3:CL40)</f>
        <v>3455</v>
      </c>
      <c r="CM41" s="22">
        <f t="shared" ref="CM41" si="68">SUM(CM3:CM40)</f>
        <v>1249</v>
      </c>
      <c r="CN41" s="22">
        <f t="shared" ref="CN41" si="69">SUM(CN3:CN40)</f>
        <v>13917</v>
      </c>
      <c r="CO41" s="22">
        <f t="shared" ref="CO41" si="70">SUM(CO3:CO40)</f>
        <v>970</v>
      </c>
      <c r="CP41" s="22">
        <f t="shared" ref="CP41" si="71">SUM(CP3:CP40)</f>
        <v>10563</v>
      </c>
      <c r="CQ41" s="22">
        <f t="shared" ref="CQ41" si="72">SUM(CQ3:CQ40)</f>
        <v>7416</v>
      </c>
      <c r="CR41" s="22">
        <f>SUM(CR3:CR40)</f>
        <v>3819</v>
      </c>
    </row>
    <row r="44" spans="1:96" x14ac:dyDescent="0.25">
      <c r="AY44" s="62"/>
    </row>
    <row r="45" spans="1:96" x14ac:dyDescent="0.25">
      <c r="AY45" s="61"/>
    </row>
    <row r="51" spans="3:84" x14ac:dyDescent="0.25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</row>
    <row r="52" spans="3:84" x14ac:dyDescent="0.25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7EA8-F819-43BB-BEA7-CEFA02C248E2}">
  <sheetPr>
    <tabColor rgb="FF92D050"/>
  </sheetPr>
  <dimension ref="A1:AC51"/>
  <sheetViews>
    <sheetView showGridLines="0" zoomScale="85" zoomScaleNormal="85" workbookViewId="0">
      <pane xSplit="2" ySplit="2" topLeftCell="C3" activePane="bottomRight" state="frozen"/>
      <selection activeCell="K18" sqref="K18"/>
      <selection pane="topRight" activeCell="K18" sqref="K18"/>
      <selection pane="bottomLeft" activeCell="K18" sqref="K18"/>
      <selection pane="bottomRight" activeCell="J15" sqref="J15:J27"/>
    </sheetView>
  </sheetViews>
  <sheetFormatPr defaultColWidth="8.7109375" defaultRowHeight="15" x14ac:dyDescent="0.25"/>
  <cols>
    <col min="1" max="2" width="19.28515625" style="7" customWidth="1"/>
    <col min="3" max="5" width="12.140625" style="7" bestFit="1" customWidth="1"/>
    <col min="6" max="6" width="16" style="7" customWidth="1"/>
    <col min="7" max="29" width="15.140625" style="7" bestFit="1" customWidth="1"/>
  </cols>
  <sheetData>
    <row r="1" spans="1:29" ht="18.75" x14ac:dyDescent="0.3">
      <c r="A1" s="10"/>
      <c r="B1" s="10"/>
      <c r="C1" s="64"/>
      <c r="D1" s="64"/>
      <c r="E1" s="64">
        <v>2025</v>
      </c>
      <c r="F1" s="64">
        <v>2026</v>
      </c>
      <c r="G1" s="99" t="s">
        <v>81</v>
      </c>
      <c r="H1" s="99"/>
      <c r="I1" s="99" t="s">
        <v>85</v>
      </c>
      <c r="J1" s="99"/>
      <c r="K1" s="100"/>
      <c r="L1" s="100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29" ht="18.7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80</v>
      </c>
      <c r="F2" s="3" t="s">
        <v>80</v>
      </c>
      <c r="G2" s="3" t="s">
        <v>82</v>
      </c>
      <c r="H2" s="3" t="s">
        <v>83</v>
      </c>
      <c r="I2" s="3">
        <v>2025</v>
      </c>
      <c r="J2" s="3">
        <v>2026</v>
      </c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</row>
    <row r="3" spans="1:29" x14ac:dyDescent="0.25">
      <c r="A3" s="5" t="s">
        <v>56</v>
      </c>
      <c r="B3" s="5" t="s">
        <v>57</v>
      </c>
      <c r="C3" s="5">
        <v>7920</v>
      </c>
      <c r="D3" s="5">
        <v>6833</v>
      </c>
      <c r="E3" s="5">
        <v>9307</v>
      </c>
      <c r="F3" s="19">
        <v>9261</v>
      </c>
      <c r="G3" s="5">
        <f t="shared" ref="G3:G40" si="0">F3-E3</f>
        <v>-46</v>
      </c>
      <c r="H3" s="14">
        <f t="shared" ref="H3:H31" si="1">G3/E3</f>
        <v>-4.9425163855162779E-3</v>
      </c>
      <c r="I3" s="14">
        <f>E3/D3</f>
        <v>1.3620664422654765</v>
      </c>
      <c r="J3" s="14">
        <f t="shared" ref="J3:J41" si="2">F3/D3</f>
        <v>1.3553344065564175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</row>
    <row r="4" spans="1:29" x14ac:dyDescent="0.25">
      <c r="A4" s="4" t="s">
        <v>60</v>
      </c>
      <c r="B4" s="4" t="s">
        <v>61</v>
      </c>
      <c r="C4" s="4">
        <v>8533</v>
      </c>
      <c r="D4" s="4">
        <v>6447</v>
      </c>
      <c r="E4" s="4">
        <v>3155</v>
      </c>
      <c r="F4" s="20">
        <v>3424</v>
      </c>
      <c r="G4" s="4">
        <f t="shared" si="0"/>
        <v>269</v>
      </c>
      <c r="H4" s="24">
        <f t="shared" si="1"/>
        <v>8.526148969889065E-2</v>
      </c>
      <c r="I4" s="24">
        <f t="shared" ref="I4:I41" si="3">E4/D4</f>
        <v>0.48937490305568482</v>
      </c>
      <c r="J4" s="24">
        <f t="shared" si="2"/>
        <v>0.53109973631146268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</row>
    <row r="5" spans="1:29" x14ac:dyDescent="0.25">
      <c r="A5" s="5" t="s">
        <v>48</v>
      </c>
      <c r="B5" s="5" t="s">
        <v>49</v>
      </c>
      <c r="C5" s="5">
        <v>27775</v>
      </c>
      <c r="D5" s="5">
        <v>22138</v>
      </c>
      <c r="E5" s="5">
        <v>7374</v>
      </c>
      <c r="F5" s="19">
        <v>7529</v>
      </c>
      <c r="G5" s="5">
        <f t="shared" si="0"/>
        <v>155</v>
      </c>
      <c r="H5" s="14">
        <f t="shared" si="1"/>
        <v>2.1019799294819636E-2</v>
      </c>
      <c r="I5" s="14">
        <f t="shared" si="3"/>
        <v>0.33309242027283403</v>
      </c>
      <c r="J5" s="14">
        <f>F5/D5</f>
        <v>0.34009395609359472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29" x14ac:dyDescent="0.25">
      <c r="A6" s="4" t="s">
        <v>62</v>
      </c>
      <c r="B6" s="4" t="s">
        <v>63</v>
      </c>
      <c r="C6" s="4">
        <v>10771</v>
      </c>
      <c r="D6" s="4">
        <v>9026</v>
      </c>
      <c r="E6" s="4">
        <v>2881</v>
      </c>
      <c r="F6" s="20">
        <v>2976</v>
      </c>
      <c r="G6" s="4">
        <f t="shared" si="0"/>
        <v>95</v>
      </c>
      <c r="H6" s="24">
        <f t="shared" si="1"/>
        <v>3.2974661575841724E-2</v>
      </c>
      <c r="I6" s="24">
        <f t="shared" si="3"/>
        <v>0.31918900952803014</v>
      </c>
      <c r="J6" s="24">
        <f>F6/D6</f>
        <v>0.32971415909594504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29" x14ac:dyDescent="0.25">
      <c r="A7" s="5" t="s">
        <v>50</v>
      </c>
      <c r="B7" s="5" t="s">
        <v>51</v>
      </c>
      <c r="C7" s="5">
        <v>27716</v>
      </c>
      <c r="D7" s="5">
        <v>21269</v>
      </c>
      <c r="E7" s="5">
        <v>5730</v>
      </c>
      <c r="F7" s="19">
        <v>5947</v>
      </c>
      <c r="G7" s="5">
        <f t="shared" si="0"/>
        <v>217</v>
      </c>
      <c r="H7" s="14">
        <f t="shared" si="1"/>
        <v>3.7870855148342063E-2</v>
      </c>
      <c r="I7" s="14">
        <f t="shared" si="3"/>
        <v>0.269406178005548</v>
      </c>
      <c r="J7" s="14">
        <f>F7/D7</f>
        <v>0.27960882034886453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spans="1:29" x14ac:dyDescent="0.25">
      <c r="A8" s="4" t="s">
        <v>6</v>
      </c>
      <c r="B8" s="4" t="s">
        <v>7</v>
      </c>
      <c r="C8" s="4">
        <v>227466</v>
      </c>
      <c r="D8" s="4">
        <v>177302</v>
      </c>
      <c r="E8" s="4">
        <v>45420</v>
      </c>
      <c r="F8" s="20">
        <v>47635</v>
      </c>
      <c r="G8" s="4">
        <f>F8-E8</f>
        <v>2215</v>
      </c>
      <c r="H8" s="24">
        <f t="shared" si="1"/>
        <v>4.8767062967855573E-2</v>
      </c>
      <c r="I8" s="24">
        <f t="shared" si="3"/>
        <v>0.25617308321395132</v>
      </c>
      <c r="J8" s="24">
        <f t="shared" si="2"/>
        <v>0.26866589209371583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29" x14ac:dyDescent="0.25">
      <c r="A9" s="5" t="s">
        <v>30</v>
      </c>
      <c r="B9" s="5" t="s">
        <v>31</v>
      </c>
      <c r="C9" s="5">
        <v>18486</v>
      </c>
      <c r="D9" s="5">
        <v>14806</v>
      </c>
      <c r="E9" s="5">
        <v>3610</v>
      </c>
      <c r="F9" s="19">
        <v>3691</v>
      </c>
      <c r="G9" s="5">
        <f t="shared" si="0"/>
        <v>81</v>
      </c>
      <c r="H9" s="14">
        <f t="shared" si="1"/>
        <v>2.2437673130193906E-2</v>
      </c>
      <c r="I9" s="14">
        <f t="shared" si="3"/>
        <v>0.24382007294340133</v>
      </c>
      <c r="J9" s="14">
        <f t="shared" si="2"/>
        <v>0.2492908280426854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spans="1:29" x14ac:dyDescent="0.25">
      <c r="A10" s="4" t="s">
        <v>22</v>
      </c>
      <c r="B10" s="4" t="s">
        <v>23</v>
      </c>
      <c r="C10" s="4">
        <v>48079</v>
      </c>
      <c r="D10" s="4">
        <v>36276</v>
      </c>
      <c r="E10" s="4">
        <v>8493</v>
      </c>
      <c r="F10" s="20">
        <v>8808</v>
      </c>
      <c r="G10" s="4">
        <f t="shared" si="0"/>
        <v>315</v>
      </c>
      <c r="H10" s="24">
        <f t="shared" si="1"/>
        <v>3.7089367714588484E-2</v>
      </c>
      <c r="I10" s="24">
        <f t="shared" si="3"/>
        <v>0.23412173337743963</v>
      </c>
      <c r="J10" s="24">
        <f t="shared" si="2"/>
        <v>0.24280516043665235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 spans="1:29" x14ac:dyDescent="0.25">
      <c r="A11" s="5" t="s">
        <v>46</v>
      </c>
      <c r="B11" s="5" t="s">
        <v>47</v>
      </c>
      <c r="C11" s="5">
        <v>22815</v>
      </c>
      <c r="D11" s="5">
        <v>17367</v>
      </c>
      <c r="E11" s="5">
        <v>3945</v>
      </c>
      <c r="F11" s="19">
        <v>4126</v>
      </c>
      <c r="G11" s="5">
        <f t="shared" si="0"/>
        <v>181</v>
      </c>
      <c r="H11" s="14">
        <f t="shared" si="1"/>
        <v>4.5880861850443599E-2</v>
      </c>
      <c r="I11" s="14">
        <f t="shared" si="3"/>
        <v>0.22715494904128519</v>
      </c>
      <c r="J11" s="14">
        <f t="shared" si="2"/>
        <v>0.23757701387689295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spans="1:29" x14ac:dyDescent="0.25">
      <c r="A12" s="4" t="s">
        <v>18</v>
      </c>
      <c r="B12" s="4" t="s">
        <v>19</v>
      </c>
      <c r="C12" s="4">
        <v>64742</v>
      </c>
      <c r="D12" s="4">
        <v>50171</v>
      </c>
      <c r="E12" s="4">
        <v>11839</v>
      </c>
      <c r="F12" s="20">
        <v>11901</v>
      </c>
      <c r="G12" s="4">
        <f t="shared" si="0"/>
        <v>62</v>
      </c>
      <c r="H12" s="24">
        <f t="shared" si="1"/>
        <v>5.2369287946617115E-3</v>
      </c>
      <c r="I12" s="24">
        <f t="shared" si="3"/>
        <v>0.23597297243427479</v>
      </c>
      <c r="J12" s="24">
        <f t="shared" si="2"/>
        <v>0.23720874608837775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spans="1:29" x14ac:dyDescent="0.25">
      <c r="A13" s="5" t="s">
        <v>12</v>
      </c>
      <c r="B13" s="5" t="s">
        <v>13</v>
      </c>
      <c r="C13" s="5">
        <v>82745</v>
      </c>
      <c r="D13" s="5">
        <v>65980</v>
      </c>
      <c r="E13" s="5">
        <v>14551</v>
      </c>
      <c r="F13" s="19">
        <v>15027</v>
      </c>
      <c r="G13" s="5">
        <f t="shared" si="0"/>
        <v>476</v>
      </c>
      <c r="H13" s="14">
        <f t="shared" si="1"/>
        <v>3.271252834856711E-2</v>
      </c>
      <c r="I13" s="14">
        <f t="shared" si="3"/>
        <v>0.2205365262200667</v>
      </c>
      <c r="J13" s="14">
        <f t="shared" si="2"/>
        <v>0.22775083358593512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spans="1:29" x14ac:dyDescent="0.25">
      <c r="A14" s="4" t="s">
        <v>24</v>
      </c>
      <c r="B14" s="4" t="s">
        <v>25</v>
      </c>
      <c r="C14" s="4">
        <v>70975</v>
      </c>
      <c r="D14" s="4">
        <v>54812</v>
      </c>
      <c r="E14" s="4">
        <v>10092</v>
      </c>
      <c r="F14" s="20">
        <v>10670</v>
      </c>
      <c r="G14" s="4">
        <f t="shared" si="0"/>
        <v>578</v>
      </c>
      <c r="H14" s="24">
        <f t="shared" si="1"/>
        <v>5.7273087594133965E-2</v>
      </c>
      <c r="I14" s="24">
        <f t="shared" si="3"/>
        <v>0.18412026563526235</v>
      </c>
      <c r="J14" s="24">
        <f t="shared" si="2"/>
        <v>0.19466540173684593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spans="1:29" x14ac:dyDescent="0.25">
      <c r="A15" s="5" t="s">
        <v>36</v>
      </c>
      <c r="B15" s="5" t="s">
        <v>37</v>
      </c>
      <c r="C15" s="5">
        <v>33008</v>
      </c>
      <c r="D15" s="5">
        <v>26385</v>
      </c>
      <c r="E15" s="5">
        <v>4844</v>
      </c>
      <c r="F15" s="19">
        <v>5105</v>
      </c>
      <c r="G15" s="5">
        <f t="shared" si="0"/>
        <v>261</v>
      </c>
      <c r="H15" s="14">
        <f t="shared" si="1"/>
        <v>5.3881090008257637E-2</v>
      </c>
      <c r="I15" s="14">
        <f t="shared" si="3"/>
        <v>0.18358916050786431</v>
      </c>
      <c r="J15" s="14">
        <f t="shared" si="2"/>
        <v>0.19348114458972901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spans="1:29" x14ac:dyDescent="0.25">
      <c r="A16" s="4" t="s">
        <v>38</v>
      </c>
      <c r="B16" s="4" t="s">
        <v>39</v>
      </c>
      <c r="C16" s="4">
        <v>40664</v>
      </c>
      <c r="D16" s="4">
        <v>31671</v>
      </c>
      <c r="E16" s="4">
        <v>5790</v>
      </c>
      <c r="F16" s="20">
        <v>6091</v>
      </c>
      <c r="G16" s="4">
        <f t="shared" si="0"/>
        <v>301</v>
      </c>
      <c r="H16" s="24">
        <f t="shared" si="1"/>
        <v>5.1986183074265974E-2</v>
      </c>
      <c r="I16" s="24">
        <f t="shared" si="3"/>
        <v>0.18281708818793219</v>
      </c>
      <c r="J16" s="24">
        <f t="shared" si="2"/>
        <v>0.19232105080357426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spans="1:29" x14ac:dyDescent="0.25">
      <c r="A17" s="5" t="s">
        <v>40</v>
      </c>
      <c r="B17" s="5" t="s">
        <v>41</v>
      </c>
      <c r="C17" s="5">
        <v>35566</v>
      </c>
      <c r="D17" s="5">
        <v>27813</v>
      </c>
      <c r="E17" s="5">
        <v>4960</v>
      </c>
      <c r="F17" s="19">
        <v>5153</v>
      </c>
      <c r="G17" s="5">
        <f t="shared" si="0"/>
        <v>193</v>
      </c>
      <c r="H17" s="14">
        <f t="shared" si="1"/>
        <v>3.8911290322580644E-2</v>
      </c>
      <c r="I17" s="14">
        <f t="shared" si="3"/>
        <v>0.17833387264948045</v>
      </c>
      <c r="J17" s="14">
        <f t="shared" si="2"/>
        <v>0.18527307374249452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 spans="1:29" x14ac:dyDescent="0.25">
      <c r="A18" s="4" t="s">
        <v>42</v>
      </c>
      <c r="B18" s="4" t="s">
        <v>43</v>
      </c>
      <c r="C18" s="4">
        <v>30503</v>
      </c>
      <c r="D18" s="4">
        <v>23708</v>
      </c>
      <c r="E18" s="4">
        <v>4235</v>
      </c>
      <c r="F18" s="20">
        <v>4322</v>
      </c>
      <c r="G18" s="4">
        <f t="shared" si="0"/>
        <v>87</v>
      </c>
      <c r="H18" s="24">
        <f t="shared" si="1"/>
        <v>2.0543093270365999E-2</v>
      </c>
      <c r="I18" s="24">
        <f t="shared" si="3"/>
        <v>0.17863168550700187</v>
      </c>
      <c r="J18" s="24">
        <f t="shared" si="2"/>
        <v>0.18230133288341488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spans="1:29" x14ac:dyDescent="0.25">
      <c r="A19" s="5" t="s">
        <v>28</v>
      </c>
      <c r="B19" s="5" t="s">
        <v>29</v>
      </c>
      <c r="C19" s="5">
        <v>82980</v>
      </c>
      <c r="D19" s="5">
        <v>66517</v>
      </c>
      <c r="E19" s="5">
        <v>11191</v>
      </c>
      <c r="F19" s="19">
        <v>11535</v>
      </c>
      <c r="G19" s="5">
        <f t="shared" si="0"/>
        <v>344</v>
      </c>
      <c r="H19" s="14">
        <f t="shared" si="1"/>
        <v>3.0738986685729604E-2</v>
      </c>
      <c r="I19" s="14">
        <f t="shared" si="3"/>
        <v>0.16824270487243861</v>
      </c>
      <c r="J19" s="14">
        <f t="shared" si="2"/>
        <v>0.17341431513748365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 spans="1:29" x14ac:dyDescent="0.25">
      <c r="A20" s="4" t="s">
        <v>54</v>
      </c>
      <c r="B20" s="4" t="s">
        <v>55</v>
      </c>
      <c r="C20" s="4">
        <v>22868</v>
      </c>
      <c r="D20" s="4">
        <v>19137</v>
      </c>
      <c r="E20" s="4">
        <v>3058</v>
      </c>
      <c r="F20" s="20">
        <v>3239</v>
      </c>
      <c r="G20" s="4">
        <f t="shared" si="0"/>
        <v>181</v>
      </c>
      <c r="H20" s="24">
        <f t="shared" si="1"/>
        <v>5.9189012426422501E-2</v>
      </c>
      <c r="I20" s="24">
        <f t="shared" si="3"/>
        <v>0.15979516120604065</v>
      </c>
      <c r="J20" s="24">
        <f t="shared" si="2"/>
        <v>0.16925327898834719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spans="1:29" x14ac:dyDescent="0.25">
      <c r="A21" s="5" t="s">
        <v>44</v>
      </c>
      <c r="B21" s="5" t="s">
        <v>45</v>
      </c>
      <c r="C21" s="5">
        <v>41799</v>
      </c>
      <c r="D21" s="5">
        <v>32724</v>
      </c>
      <c r="E21" s="5">
        <v>5358</v>
      </c>
      <c r="F21" s="19">
        <v>5514</v>
      </c>
      <c r="G21" s="5">
        <f t="shared" si="0"/>
        <v>156</v>
      </c>
      <c r="H21" s="14">
        <f t="shared" si="1"/>
        <v>2.9115341545352745E-2</v>
      </c>
      <c r="I21" s="14">
        <f t="shared" si="3"/>
        <v>0.16373303997066374</v>
      </c>
      <c r="J21" s="14">
        <f t="shared" si="2"/>
        <v>0.1685001833516685</v>
      </c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spans="1:29" x14ac:dyDescent="0.25">
      <c r="A22" s="4" t="s">
        <v>32</v>
      </c>
      <c r="B22" s="4" t="s">
        <v>33</v>
      </c>
      <c r="C22" s="4">
        <v>45749</v>
      </c>
      <c r="D22" s="4">
        <v>36111</v>
      </c>
      <c r="E22" s="4">
        <v>5637</v>
      </c>
      <c r="F22" s="20">
        <v>5922</v>
      </c>
      <c r="G22" s="4">
        <f t="shared" si="0"/>
        <v>285</v>
      </c>
      <c r="H22" s="24">
        <f t="shared" si="1"/>
        <v>5.0558807876530068E-2</v>
      </c>
      <c r="I22" s="24">
        <f t="shared" si="3"/>
        <v>0.15610201877544239</v>
      </c>
      <c r="J22" s="24">
        <f t="shared" si="2"/>
        <v>0.16399435075184846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spans="1:29" x14ac:dyDescent="0.25">
      <c r="A23" s="5" t="s">
        <v>10</v>
      </c>
      <c r="B23" s="5" t="s">
        <v>11</v>
      </c>
      <c r="C23" s="5">
        <v>109255</v>
      </c>
      <c r="D23" s="5">
        <v>84228</v>
      </c>
      <c r="E23" s="5">
        <v>13031</v>
      </c>
      <c r="F23" s="19">
        <v>13576</v>
      </c>
      <c r="G23" s="5">
        <f t="shared" si="0"/>
        <v>545</v>
      </c>
      <c r="H23" s="14">
        <f t="shared" si="1"/>
        <v>4.182334433274499E-2</v>
      </c>
      <c r="I23" s="14">
        <f t="shared" si="3"/>
        <v>0.15471102246283897</v>
      </c>
      <c r="J23" s="14">
        <f t="shared" si="2"/>
        <v>0.16118155482737331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spans="1:29" x14ac:dyDescent="0.25">
      <c r="A24" s="4" t="s">
        <v>26</v>
      </c>
      <c r="B24" s="4" t="s">
        <v>27</v>
      </c>
      <c r="C24" s="4">
        <v>55044</v>
      </c>
      <c r="D24" s="4">
        <v>41804</v>
      </c>
      <c r="E24" s="4">
        <v>5716</v>
      </c>
      <c r="F24" s="20">
        <v>5950</v>
      </c>
      <c r="G24" s="4">
        <f t="shared" si="0"/>
        <v>234</v>
      </c>
      <c r="H24" s="24">
        <f t="shared" si="1"/>
        <v>4.0937718684394685E-2</v>
      </c>
      <c r="I24" s="24">
        <f t="shared" si="3"/>
        <v>0.13673332695435844</v>
      </c>
      <c r="J24" s="24">
        <f t="shared" si="2"/>
        <v>0.14233087742799733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spans="1:29" x14ac:dyDescent="0.25">
      <c r="A25" s="5" t="s">
        <v>8</v>
      </c>
      <c r="B25" s="5" t="s">
        <v>9</v>
      </c>
      <c r="C25" s="5">
        <v>147246</v>
      </c>
      <c r="D25" s="5">
        <v>115421</v>
      </c>
      <c r="E25" s="5">
        <v>15388</v>
      </c>
      <c r="F25" s="19">
        <v>16152</v>
      </c>
      <c r="G25" s="5">
        <f t="shared" si="0"/>
        <v>764</v>
      </c>
      <c r="H25" s="14">
        <f t="shared" si="1"/>
        <v>4.9649077203015334E-2</v>
      </c>
      <c r="I25" s="14">
        <f t="shared" si="3"/>
        <v>0.13332062622919572</v>
      </c>
      <c r="J25" s="14">
        <f t="shared" si="2"/>
        <v>0.13993987229360341</v>
      </c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spans="1:29" x14ac:dyDescent="0.25">
      <c r="A26" s="4" t="s">
        <v>16</v>
      </c>
      <c r="B26" s="4" t="s">
        <v>17</v>
      </c>
      <c r="C26" s="4">
        <v>78699</v>
      </c>
      <c r="D26" s="4">
        <v>62970</v>
      </c>
      <c r="E26" s="4">
        <v>8802</v>
      </c>
      <c r="F26" s="20">
        <v>8812</v>
      </c>
      <c r="G26" s="4">
        <f t="shared" si="0"/>
        <v>10</v>
      </c>
      <c r="H26" s="24">
        <f t="shared" si="1"/>
        <v>1.1361054305839581E-3</v>
      </c>
      <c r="I26" s="24">
        <f t="shared" si="3"/>
        <v>0.13978084802286803</v>
      </c>
      <c r="J26" s="24">
        <f t="shared" si="2"/>
        <v>0.13993965380339846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spans="1:29" x14ac:dyDescent="0.25">
      <c r="A27" s="5" t="s">
        <v>20</v>
      </c>
      <c r="B27" s="5" t="s">
        <v>21</v>
      </c>
      <c r="C27" s="5">
        <v>61528</v>
      </c>
      <c r="D27" s="5">
        <v>47591</v>
      </c>
      <c r="E27" s="5">
        <v>6269</v>
      </c>
      <c r="F27" s="19">
        <v>6504</v>
      </c>
      <c r="G27" s="5">
        <f t="shared" si="0"/>
        <v>235</v>
      </c>
      <c r="H27" s="14">
        <f t="shared" si="1"/>
        <v>3.7486042431009732E-2</v>
      </c>
      <c r="I27" s="14">
        <f t="shared" si="3"/>
        <v>0.13172658695971928</v>
      </c>
      <c r="J27" s="14">
        <f t="shared" si="2"/>
        <v>0.13666449538778341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spans="1:29" x14ac:dyDescent="0.25">
      <c r="A28" s="4" t="s">
        <v>34</v>
      </c>
      <c r="B28" s="4" t="s">
        <v>35</v>
      </c>
      <c r="C28" s="4">
        <v>43888</v>
      </c>
      <c r="D28" s="4">
        <v>32516</v>
      </c>
      <c r="E28" s="4">
        <v>4147</v>
      </c>
      <c r="F28" s="20">
        <v>4413</v>
      </c>
      <c r="G28" s="4">
        <f t="shared" si="0"/>
        <v>266</v>
      </c>
      <c r="H28" s="24">
        <f t="shared" si="1"/>
        <v>6.4142753797926208E-2</v>
      </c>
      <c r="I28" s="24">
        <f t="shared" si="3"/>
        <v>0.12753721244925575</v>
      </c>
      <c r="J28" s="24">
        <f t="shared" si="2"/>
        <v>0.13571780046746218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spans="1:29" x14ac:dyDescent="0.25">
      <c r="A29" s="5" t="s">
        <v>14</v>
      </c>
      <c r="B29" s="5" t="s">
        <v>15</v>
      </c>
      <c r="C29" s="5">
        <v>63949</v>
      </c>
      <c r="D29" s="5">
        <v>47439</v>
      </c>
      <c r="E29" s="5">
        <v>6061</v>
      </c>
      <c r="F29" s="19">
        <v>6301</v>
      </c>
      <c r="G29" s="5">
        <f t="shared" si="0"/>
        <v>240</v>
      </c>
      <c r="H29" s="14">
        <f t="shared" si="1"/>
        <v>3.9597426167299124E-2</v>
      </c>
      <c r="I29" s="14">
        <f t="shared" si="3"/>
        <v>0.12776407597124728</v>
      </c>
      <c r="J29" s="14">
        <f t="shared" si="2"/>
        <v>0.13282320453635194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spans="1:29" x14ac:dyDescent="0.25">
      <c r="A30" s="4" t="s">
        <v>67</v>
      </c>
      <c r="B30" s="4" t="s">
        <v>68</v>
      </c>
      <c r="C30" s="4">
        <v>3385</v>
      </c>
      <c r="D30" s="4">
        <v>2940</v>
      </c>
      <c r="E30" s="4">
        <v>39</v>
      </c>
      <c r="F30" s="20">
        <v>184</v>
      </c>
      <c r="G30" s="4">
        <f t="shared" si="0"/>
        <v>145</v>
      </c>
      <c r="H30" s="24">
        <f t="shared" si="1"/>
        <v>3.7179487179487181</v>
      </c>
      <c r="I30" s="24">
        <f t="shared" si="3"/>
        <v>1.3265306122448979E-2</v>
      </c>
      <c r="J30" s="24">
        <f t="shared" si="2"/>
        <v>6.2585034013605448E-2</v>
      </c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spans="1:29" x14ac:dyDescent="0.25">
      <c r="A31" s="5" t="s">
        <v>65</v>
      </c>
      <c r="B31" s="5" t="s">
        <v>66</v>
      </c>
      <c r="C31" s="5">
        <v>9485</v>
      </c>
      <c r="D31" s="5">
        <v>8435</v>
      </c>
      <c r="E31" s="5">
        <v>193</v>
      </c>
      <c r="F31" s="19">
        <v>389</v>
      </c>
      <c r="G31" s="5">
        <f t="shared" si="0"/>
        <v>196</v>
      </c>
      <c r="H31" s="14">
        <f t="shared" si="1"/>
        <v>1.0155440414507773</v>
      </c>
      <c r="I31" s="14">
        <f t="shared" si="3"/>
        <v>2.2880853586247776E-2</v>
      </c>
      <c r="J31" s="14">
        <f t="shared" si="2"/>
        <v>4.6117368109069357E-2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spans="1:29" x14ac:dyDescent="0.25">
      <c r="A32" s="4" t="s">
        <v>52</v>
      </c>
      <c r="B32" s="4" t="s">
        <v>53</v>
      </c>
      <c r="C32" s="4">
        <v>24308</v>
      </c>
      <c r="D32" s="4">
        <v>18586</v>
      </c>
      <c r="E32" s="4">
        <v>0</v>
      </c>
      <c r="F32" s="20">
        <v>0</v>
      </c>
      <c r="G32" s="4">
        <f t="shared" si="0"/>
        <v>0</v>
      </c>
      <c r="H32" s="24"/>
      <c r="I32" s="24">
        <f t="shared" si="3"/>
        <v>0</v>
      </c>
      <c r="J32" s="24">
        <f t="shared" si="2"/>
        <v>0</v>
      </c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spans="1:29" x14ac:dyDescent="0.25">
      <c r="A33" s="5" t="s">
        <v>52</v>
      </c>
      <c r="B33" s="5" t="s">
        <v>58</v>
      </c>
      <c r="C33" s="5">
        <v>28896</v>
      </c>
      <c r="D33" s="5">
        <v>23559</v>
      </c>
      <c r="E33" s="5">
        <v>0</v>
      </c>
      <c r="F33" s="19">
        <v>0</v>
      </c>
      <c r="G33" s="5">
        <f t="shared" si="0"/>
        <v>0</v>
      </c>
      <c r="H33" s="14"/>
      <c r="I33" s="14">
        <f t="shared" si="3"/>
        <v>0</v>
      </c>
      <c r="J33" s="14">
        <f t="shared" si="2"/>
        <v>0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spans="1:29" x14ac:dyDescent="0.25">
      <c r="A34" s="4" t="s">
        <v>52</v>
      </c>
      <c r="B34" s="4" t="s">
        <v>59</v>
      </c>
      <c r="C34" s="4">
        <v>5607</v>
      </c>
      <c r="D34" s="4">
        <v>4206</v>
      </c>
      <c r="E34" s="4">
        <v>0</v>
      </c>
      <c r="F34" s="20">
        <v>0</v>
      </c>
      <c r="G34" s="4">
        <f t="shared" si="0"/>
        <v>0</v>
      </c>
      <c r="H34" s="24"/>
      <c r="I34" s="24">
        <f t="shared" si="3"/>
        <v>0</v>
      </c>
      <c r="J34" s="24">
        <f t="shared" si="2"/>
        <v>0</v>
      </c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spans="1:29" x14ac:dyDescent="0.25">
      <c r="A35" s="5" t="s">
        <v>52</v>
      </c>
      <c r="B35" s="5" t="s">
        <v>64</v>
      </c>
      <c r="C35" s="5">
        <v>3041</v>
      </c>
      <c r="D35" s="5">
        <v>2409</v>
      </c>
      <c r="E35" s="5">
        <v>0</v>
      </c>
      <c r="F35" s="19">
        <v>0</v>
      </c>
      <c r="G35" s="5">
        <f t="shared" si="0"/>
        <v>0</v>
      </c>
      <c r="H35" s="14"/>
      <c r="I35" s="14">
        <f t="shared" si="3"/>
        <v>0</v>
      </c>
      <c r="J35" s="14">
        <f t="shared" si="2"/>
        <v>0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spans="1:29" x14ac:dyDescent="0.25">
      <c r="A36" s="4" t="s">
        <v>52</v>
      </c>
      <c r="B36" s="4" t="s">
        <v>69</v>
      </c>
      <c r="C36" s="4">
        <v>4493</v>
      </c>
      <c r="D36" s="4">
        <v>3426</v>
      </c>
      <c r="E36" s="4">
        <v>0</v>
      </c>
      <c r="F36" s="20">
        <v>0</v>
      </c>
      <c r="G36" s="4">
        <f t="shared" si="0"/>
        <v>0</v>
      </c>
      <c r="H36" s="24"/>
      <c r="I36" s="24">
        <f t="shared" si="3"/>
        <v>0</v>
      </c>
      <c r="J36" s="24">
        <f t="shared" si="2"/>
        <v>0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spans="1:29" x14ac:dyDescent="0.25">
      <c r="A37" s="5" t="s">
        <v>52</v>
      </c>
      <c r="B37" s="5" t="s">
        <v>70</v>
      </c>
      <c r="C37" s="5">
        <v>3943</v>
      </c>
      <c r="D37" s="5">
        <v>3266</v>
      </c>
      <c r="E37" s="5">
        <v>0</v>
      </c>
      <c r="F37" s="19">
        <v>0</v>
      </c>
      <c r="G37" s="5">
        <f t="shared" si="0"/>
        <v>0</v>
      </c>
      <c r="H37" s="14"/>
      <c r="I37" s="14">
        <f t="shared" si="3"/>
        <v>0</v>
      </c>
      <c r="J37" s="14">
        <f t="shared" si="2"/>
        <v>0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spans="1:29" x14ac:dyDescent="0.25">
      <c r="A38" s="4" t="s">
        <v>52</v>
      </c>
      <c r="B38" s="4" t="s">
        <v>71</v>
      </c>
      <c r="C38" s="4">
        <v>3240</v>
      </c>
      <c r="D38" s="4">
        <v>2762</v>
      </c>
      <c r="E38" s="4">
        <v>0</v>
      </c>
      <c r="F38" s="20">
        <v>0</v>
      </c>
      <c r="G38" s="4">
        <f t="shared" si="0"/>
        <v>0</v>
      </c>
      <c r="H38" s="24"/>
      <c r="I38" s="24">
        <f t="shared" si="3"/>
        <v>0</v>
      </c>
      <c r="J38" s="24">
        <f t="shared" si="2"/>
        <v>0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spans="1:29" x14ac:dyDescent="0.25">
      <c r="A39" s="5" t="s">
        <v>52</v>
      </c>
      <c r="B39" s="5" t="s">
        <v>72</v>
      </c>
      <c r="C39" s="5">
        <v>2867</v>
      </c>
      <c r="D39" s="5">
        <v>2490</v>
      </c>
      <c r="E39" s="5">
        <v>0</v>
      </c>
      <c r="F39" s="19">
        <v>0</v>
      </c>
      <c r="G39" s="5">
        <f t="shared" si="0"/>
        <v>0</v>
      </c>
      <c r="H39" s="14"/>
      <c r="I39" s="14">
        <f t="shared" si="3"/>
        <v>0</v>
      </c>
      <c r="J39" s="14">
        <f t="shared" si="2"/>
        <v>0</v>
      </c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spans="1:29" x14ac:dyDescent="0.25">
      <c r="A40" s="4" t="s">
        <v>52</v>
      </c>
      <c r="B40" s="4" t="s">
        <v>73</v>
      </c>
      <c r="C40" s="4">
        <v>2481</v>
      </c>
      <c r="D40" s="4">
        <v>2078</v>
      </c>
      <c r="E40" s="4">
        <v>0</v>
      </c>
      <c r="F40" s="20">
        <v>0</v>
      </c>
      <c r="G40" s="4">
        <f t="shared" si="0"/>
        <v>0</v>
      </c>
      <c r="H40" s="24"/>
      <c r="I40" s="24">
        <f t="shared" si="3"/>
        <v>0</v>
      </c>
      <c r="J40" s="24">
        <f t="shared" si="2"/>
        <v>0</v>
      </c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spans="1:29" ht="15.75" x14ac:dyDescent="0.25">
      <c r="A41" s="21"/>
      <c r="B41" s="21" t="s">
        <v>74</v>
      </c>
      <c r="C41" s="22">
        <f t="shared" ref="C41:D41" si="4">SUM(C3:C40)</f>
        <v>1602515</v>
      </c>
      <c r="D41" s="22">
        <f t="shared" si="4"/>
        <v>1252619</v>
      </c>
      <c r="E41" s="22">
        <v>231116</v>
      </c>
      <c r="F41" s="22">
        <f>SUM(F3:F40)</f>
        <v>240157</v>
      </c>
      <c r="G41" s="22">
        <f t="shared" ref="G41" si="5">SUM(G3:G40)</f>
        <v>9041</v>
      </c>
      <c r="H41" s="28">
        <f>G41/E41</f>
        <v>3.9118884023607192E-2</v>
      </c>
      <c r="I41" s="28">
        <f t="shared" si="3"/>
        <v>0.18450622256248708</v>
      </c>
      <c r="J41" s="28">
        <f t="shared" si="2"/>
        <v>0.19172390008454288</v>
      </c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</row>
    <row r="50" spans="3:29" x14ac:dyDescent="0.25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spans="3:29" x14ac:dyDescent="0.25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</sheetData>
  <mergeCells count="3">
    <mergeCell ref="G1:H1"/>
    <mergeCell ref="I1:J1"/>
    <mergeCell ref="K1:L1"/>
  </mergeCells>
  <conditionalFormatting sqref="I3:I41">
    <cfRule type="cellIs" dxfId="116" priority="3" operator="lessThan">
      <formula>0.18</formula>
    </cfRule>
  </conditionalFormatting>
  <conditionalFormatting sqref="J3:J40">
    <cfRule type="cellIs" dxfId="115" priority="2" operator="lessThan">
      <formula>0.2</formula>
    </cfRule>
  </conditionalFormatting>
  <conditionalFormatting sqref="J41">
    <cfRule type="cellIs" dxfId="114" priority="1" operator="lessThan">
      <formula>0.18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E81FE-C549-41FA-ADF8-4795A1C1312E}">
  <dimension ref="A1:V41"/>
  <sheetViews>
    <sheetView showGridLines="0" zoomScale="85" zoomScaleNormal="85" workbookViewId="0">
      <pane xSplit="2" ySplit="2" topLeftCell="C3" activePane="bottomRight" state="frozen"/>
      <selection activeCell="K18" sqref="K18"/>
      <selection pane="topRight" activeCell="K18" sqref="K18"/>
      <selection pane="bottomLeft" activeCell="K18" sqref="K18"/>
      <selection pane="bottomRight" activeCell="K18" sqref="K18"/>
    </sheetView>
  </sheetViews>
  <sheetFormatPr defaultRowHeight="15" x14ac:dyDescent="0.25"/>
  <cols>
    <col min="1" max="2" width="19.28515625" style="7" customWidth="1"/>
    <col min="3" max="4" width="12.140625" style="7" bestFit="1" customWidth="1"/>
    <col min="5" max="5" width="12.140625" style="7" customWidth="1"/>
    <col min="6" max="8" width="21.5703125" style="7" bestFit="1" customWidth="1"/>
    <col min="9" max="9" width="23.140625" style="7" customWidth="1"/>
    <col min="10" max="10" width="26.7109375" style="7" bestFit="1" customWidth="1"/>
    <col min="11" max="11" width="26.7109375" style="42" customWidth="1"/>
    <col min="12" max="12" width="16.140625" style="7" bestFit="1" customWidth="1"/>
    <col min="13" max="14" width="32" style="7" bestFit="1" customWidth="1"/>
    <col min="15" max="22" width="26.7109375" style="42" customWidth="1"/>
  </cols>
  <sheetData>
    <row r="1" spans="1:22" ht="18.75" x14ac:dyDescent="0.3">
      <c r="A1" s="10"/>
      <c r="B1" s="10"/>
      <c r="C1" s="11"/>
      <c r="D1" s="11"/>
      <c r="E1" s="11"/>
      <c r="F1" s="11"/>
      <c r="G1" s="64">
        <v>2025</v>
      </c>
      <c r="H1" s="64">
        <v>2026</v>
      </c>
      <c r="I1" s="59" t="s">
        <v>79</v>
      </c>
      <c r="J1" s="59"/>
      <c r="K1" s="40"/>
      <c r="L1" s="2"/>
      <c r="M1" s="2"/>
      <c r="N1" s="2"/>
      <c r="O1" s="44"/>
      <c r="P1" s="44"/>
      <c r="Q1" s="44"/>
      <c r="R1" s="44"/>
      <c r="S1" s="44"/>
      <c r="T1" s="44"/>
      <c r="U1" s="44"/>
      <c r="V1" s="44"/>
    </row>
    <row r="2" spans="1:22" ht="18.7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98</v>
      </c>
      <c r="F2" s="3" t="s">
        <v>94</v>
      </c>
      <c r="G2" s="3" t="s">
        <v>5</v>
      </c>
      <c r="H2" s="3" t="s">
        <v>5</v>
      </c>
      <c r="I2" s="9" t="s">
        <v>84</v>
      </c>
      <c r="J2" s="9" t="s">
        <v>84</v>
      </c>
      <c r="K2" s="41" t="s">
        <v>97</v>
      </c>
      <c r="L2" s="3" t="s">
        <v>87</v>
      </c>
      <c r="M2" s="3" t="s">
        <v>100</v>
      </c>
      <c r="N2" s="3" t="s">
        <v>99</v>
      </c>
      <c r="O2" s="41"/>
      <c r="P2" s="41"/>
      <c r="Q2" s="41"/>
      <c r="R2" s="41"/>
      <c r="S2" s="41"/>
      <c r="T2" s="41"/>
      <c r="U2" s="41"/>
      <c r="V2" s="41"/>
    </row>
    <row r="3" spans="1:22" x14ac:dyDescent="0.25">
      <c r="A3" s="5" t="s">
        <v>56</v>
      </c>
      <c r="B3" s="5" t="s">
        <v>57</v>
      </c>
      <c r="C3" s="5">
        <v>7920</v>
      </c>
      <c r="D3" s="5">
        <v>6833</v>
      </c>
      <c r="E3" s="5">
        <v>9307</v>
      </c>
      <c r="F3" s="19">
        <v>9261</v>
      </c>
      <c r="G3" s="19">
        <f>_xlfn.XLOOKUP(B3,Total!B:B,Total!G:G)</f>
        <v>9715</v>
      </c>
      <c r="H3" s="19">
        <f>_xlfn.XLOOKUP(B3,Total!B:B,Total!AY:AY)</f>
        <v>9699</v>
      </c>
      <c r="I3" s="14">
        <f t="shared" ref="I3:I41" si="0">G3/D3</f>
        <v>1.421776672032782</v>
      </c>
      <c r="J3" s="14">
        <f t="shared" ref="J3:J41" si="1">H3/D3</f>
        <v>1.4194350943948486</v>
      </c>
      <c r="K3" s="5">
        <f t="shared" ref="K3:K40" si="2">H3-G3</f>
        <v>-16</v>
      </c>
      <c r="L3" s="14">
        <f t="shared" ref="L3:L31" si="3">(H3-G3)/G3</f>
        <v>-1.6469377251672672E-3</v>
      </c>
      <c r="M3" s="18">
        <f>G3/E3</f>
        <v>1.0438379714193617</v>
      </c>
      <c r="N3" s="18">
        <f>H3/F3</f>
        <v>1.0472951085195983</v>
      </c>
      <c r="O3" s="19"/>
      <c r="P3" s="19"/>
      <c r="Q3" s="19"/>
      <c r="R3" s="19"/>
      <c r="S3" s="19"/>
      <c r="T3" s="19"/>
      <c r="U3" s="19"/>
      <c r="V3" s="19"/>
    </row>
    <row r="4" spans="1:22" x14ac:dyDescent="0.25">
      <c r="A4" s="4" t="s">
        <v>60</v>
      </c>
      <c r="B4" s="4" t="s">
        <v>61</v>
      </c>
      <c r="C4" s="4">
        <v>8533</v>
      </c>
      <c r="D4" s="4">
        <v>6447</v>
      </c>
      <c r="E4" s="4">
        <v>3155</v>
      </c>
      <c r="F4" s="4">
        <v>3424</v>
      </c>
      <c r="G4" s="4">
        <f>_xlfn.XLOOKUP(B4,Total!B:B,Total!G:G)</f>
        <v>3271</v>
      </c>
      <c r="H4" s="20">
        <f>_xlfn.XLOOKUP(B4,Total!B:B,Total!AY:AY)</f>
        <v>3567</v>
      </c>
      <c r="I4" s="24">
        <f t="shared" si="0"/>
        <v>0.50736776795408722</v>
      </c>
      <c r="J4" s="24">
        <f t="shared" si="1"/>
        <v>0.55328059562587251</v>
      </c>
      <c r="K4" s="4">
        <f t="shared" si="2"/>
        <v>296</v>
      </c>
      <c r="L4" s="24">
        <f t="shared" si="3"/>
        <v>9.0492204218893299E-2</v>
      </c>
      <c r="M4" s="32">
        <f t="shared" ref="M4:M31" si="4">G4/E4</f>
        <v>1.0367670364500792</v>
      </c>
      <c r="N4" s="32">
        <f t="shared" ref="N4:N31" si="5">H4/F4</f>
        <v>1.0417640186915889</v>
      </c>
      <c r="O4" s="20"/>
      <c r="P4" s="20"/>
      <c r="Q4" s="20"/>
      <c r="R4" s="20"/>
      <c r="S4" s="20"/>
      <c r="T4" s="20"/>
      <c r="U4" s="20"/>
      <c r="V4" s="20"/>
    </row>
    <row r="5" spans="1:22" x14ac:dyDescent="0.25">
      <c r="A5" s="5" t="s">
        <v>62</v>
      </c>
      <c r="B5" s="5" t="s">
        <v>63</v>
      </c>
      <c r="C5" s="5">
        <v>10771</v>
      </c>
      <c r="D5" s="5">
        <v>9026</v>
      </c>
      <c r="E5" s="5">
        <v>2881</v>
      </c>
      <c r="F5" s="19">
        <v>2976</v>
      </c>
      <c r="G5" s="19">
        <f>_xlfn.XLOOKUP(B5,Total!B:B,Total!G:G)</f>
        <v>3175</v>
      </c>
      <c r="H5" s="19">
        <f>_xlfn.XLOOKUP(B5,Total!B:B,Total!AY:AY)</f>
        <v>3276</v>
      </c>
      <c r="I5" s="14">
        <f t="shared" si="0"/>
        <v>0.3517615776645247</v>
      </c>
      <c r="J5" s="14">
        <f t="shared" si="1"/>
        <v>0.36295147352093948</v>
      </c>
      <c r="K5" s="5">
        <f t="shared" si="2"/>
        <v>101</v>
      </c>
      <c r="L5" s="14">
        <f t="shared" si="3"/>
        <v>3.1811023622047241E-2</v>
      </c>
      <c r="M5" s="18">
        <f t="shared" si="4"/>
        <v>1.1020479000347101</v>
      </c>
      <c r="N5" s="18">
        <f t="shared" si="5"/>
        <v>1.1008064516129032</v>
      </c>
      <c r="O5" s="19"/>
      <c r="P5" s="19"/>
      <c r="Q5" s="19"/>
      <c r="R5" s="19"/>
      <c r="S5" s="19"/>
      <c r="T5" s="19"/>
      <c r="U5" s="19"/>
      <c r="V5" s="19"/>
    </row>
    <row r="6" spans="1:22" x14ac:dyDescent="0.25">
      <c r="A6" s="4" t="s">
        <v>48</v>
      </c>
      <c r="B6" s="4" t="s">
        <v>49</v>
      </c>
      <c r="C6" s="4">
        <v>27775</v>
      </c>
      <c r="D6" s="4">
        <v>22138</v>
      </c>
      <c r="E6" s="4">
        <v>7374</v>
      </c>
      <c r="F6" s="4">
        <v>7529</v>
      </c>
      <c r="G6" s="4">
        <f>_xlfn.XLOOKUP(B6,Total!B:B,Total!G:G)</f>
        <v>7598</v>
      </c>
      <c r="H6" s="20">
        <f>_xlfn.XLOOKUP(B6,Total!B:B,Total!AY:AY)</f>
        <v>7861</v>
      </c>
      <c r="I6" s="24">
        <f t="shared" si="0"/>
        <v>0.3432107688138043</v>
      </c>
      <c r="J6" s="24">
        <f t="shared" si="1"/>
        <v>0.35509079410967564</v>
      </c>
      <c r="K6" s="4">
        <f t="shared" si="2"/>
        <v>263</v>
      </c>
      <c r="L6" s="24">
        <f t="shared" si="3"/>
        <v>3.4614372203211369E-2</v>
      </c>
      <c r="M6" s="32">
        <f t="shared" si="4"/>
        <v>1.0303770002712231</v>
      </c>
      <c r="N6" s="32">
        <f t="shared" si="5"/>
        <v>1.0440961615088324</v>
      </c>
      <c r="O6" s="20"/>
      <c r="P6" s="20"/>
      <c r="Q6" s="20"/>
      <c r="R6" s="20"/>
      <c r="S6" s="20"/>
      <c r="T6" s="20"/>
      <c r="U6" s="20"/>
      <c r="V6" s="20"/>
    </row>
    <row r="7" spans="1:22" x14ac:dyDescent="0.25">
      <c r="A7" s="5" t="s">
        <v>6</v>
      </c>
      <c r="B7" s="5" t="s">
        <v>7</v>
      </c>
      <c r="C7" s="5">
        <v>227466</v>
      </c>
      <c r="D7" s="5">
        <v>177302</v>
      </c>
      <c r="E7" s="5">
        <v>45420</v>
      </c>
      <c r="F7" s="19">
        <v>47635</v>
      </c>
      <c r="G7" s="19">
        <f>_xlfn.XLOOKUP(B7,Total!B:B,Total!G:G)</f>
        <v>48925</v>
      </c>
      <c r="H7" s="19">
        <f>_xlfn.XLOOKUP(B7,Total!B:B,Total!AY:AY)</f>
        <v>52720</v>
      </c>
      <c r="I7" s="14">
        <f t="shared" si="0"/>
        <v>0.27594161374378179</v>
      </c>
      <c r="J7" s="14">
        <f t="shared" si="1"/>
        <v>0.29734577162130149</v>
      </c>
      <c r="K7" s="5">
        <f t="shared" si="2"/>
        <v>3795</v>
      </c>
      <c r="L7" s="14">
        <f t="shared" si="3"/>
        <v>7.756770567194686E-2</v>
      </c>
      <c r="M7" s="18">
        <f t="shared" si="4"/>
        <v>1.0771686481726113</v>
      </c>
      <c r="N7" s="18">
        <f t="shared" si="5"/>
        <v>1.1067492390049334</v>
      </c>
      <c r="O7" s="19"/>
      <c r="P7" s="19"/>
      <c r="Q7" s="19"/>
      <c r="R7" s="19"/>
      <c r="S7" s="19"/>
      <c r="T7" s="19"/>
      <c r="U7" s="19"/>
      <c r="V7" s="19"/>
    </row>
    <row r="8" spans="1:22" x14ac:dyDescent="0.25">
      <c r="A8" s="4" t="s">
        <v>50</v>
      </c>
      <c r="B8" s="4" t="s">
        <v>51</v>
      </c>
      <c r="C8" s="4">
        <v>27716</v>
      </c>
      <c r="D8" s="4">
        <v>21269</v>
      </c>
      <c r="E8" s="4">
        <v>5730</v>
      </c>
      <c r="F8" s="4">
        <v>5947</v>
      </c>
      <c r="G8" s="4">
        <f>_xlfn.XLOOKUP(B8,Total!B:B,Total!G:G)</f>
        <v>5947</v>
      </c>
      <c r="H8" s="20">
        <f>_xlfn.XLOOKUP(B8,Total!B:B,Total!AY:AY)</f>
        <v>6181</v>
      </c>
      <c r="I8" s="24">
        <f t="shared" si="0"/>
        <v>0.27960882034886453</v>
      </c>
      <c r="J8" s="24">
        <f t="shared" si="1"/>
        <v>0.29061074803704923</v>
      </c>
      <c r="K8" s="4">
        <f t="shared" si="2"/>
        <v>234</v>
      </c>
      <c r="L8" s="24">
        <f t="shared" si="3"/>
        <v>3.9347570203463932E-2</v>
      </c>
      <c r="M8" s="32">
        <f t="shared" si="4"/>
        <v>1.037870855148342</v>
      </c>
      <c r="N8" s="32">
        <f t="shared" si="5"/>
        <v>1.039347570203464</v>
      </c>
      <c r="O8" s="20"/>
      <c r="P8" s="20"/>
      <c r="Q8" s="20"/>
      <c r="R8" s="20"/>
      <c r="S8" s="20"/>
      <c r="T8" s="20"/>
      <c r="U8" s="20"/>
      <c r="V8" s="20"/>
    </row>
    <row r="9" spans="1:22" x14ac:dyDescent="0.25">
      <c r="A9" s="5" t="s">
        <v>22</v>
      </c>
      <c r="B9" s="5" t="s">
        <v>23</v>
      </c>
      <c r="C9" s="5">
        <v>48079</v>
      </c>
      <c r="D9" s="5">
        <v>36276</v>
      </c>
      <c r="E9" s="5">
        <v>8493</v>
      </c>
      <c r="F9" s="19">
        <v>8808</v>
      </c>
      <c r="G9" s="19">
        <f>_xlfn.XLOOKUP(B9,Total!B:B,Total!G:G)</f>
        <v>8920</v>
      </c>
      <c r="H9" s="19">
        <f>_xlfn.XLOOKUP(B9,Total!B:B,Total!AY:AY)</f>
        <v>9389</v>
      </c>
      <c r="I9" s="14">
        <f t="shared" si="0"/>
        <v>0.24589260116881684</v>
      </c>
      <c r="J9" s="14">
        <f t="shared" si="1"/>
        <v>0.25882125923475574</v>
      </c>
      <c r="K9" s="5">
        <f t="shared" si="2"/>
        <v>469</v>
      </c>
      <c r="L9" s="14">
        <f t="shared" si="3"/>
        <v>5.2578475336322872E-2</v>
      </c>
      <c r="M9" s="18">
        <f t="shared" si="4"/>
        <v>1.0502766984575533</v>
      </c>
      <c r="N9" s="18">
        <f t="shared" si="5"/>
        <v>1.0659627611262488</v>
      </c>
      <c r="O9" s="19"/>
      <c r="P9" s="19"/>
      <c r="Q9" s="19"/>
      <c r="R9" s="19"/>
      <c r="S9" s="19"/>
      <c r="T9" s="19"/>
      <c r="U9" s="19"/>
      <c r="V9" s="19"/>
    </row>
    <row r="10" spans="1:22" x14ac:dyDescent="0.25">
      <c r="A10" s="4" t="s">
        <v>30</v>
      </c>
      <c r="B10" s="4" t="s">
        <v>31</v>
      </c>
      <c r="C10" s="4">
        <v>18486</v>
      </c>
      <c r="D10" s="4">
        <v>14806</v>
      </c>
      <c r="E10" s="4">
        <v>3610</v>
      </c>
      <c r="F10" s="4">
        <v>3691</v>
      </c>
      <c r="G10" s="4">
        <f>_xlfn.XLOOKUP(B10,Total!B:B,Total!G:G)</f>
        <v>3717</v>
      </c>
      <c r="H10" s="20">
        <f>_xlfn.XLOOKUP(B10,Total!B:B,Total!AY:AY)</f>
        <v>3818</v>
      </c>
      <c r="I10" s="24">
        <f t="shared" si="0"/>
        <v>0.25104687288936917</v>
      </c>
      <c r="J10" s="24">
        <f t="shared" si="1"/>
        <v>0.25786843171687152</v>
      </c>
      <c r="K10" s="4">
        <f t="shared" si="2"/>
        <v>101</v>
      </c>
      <c r="L10" s="24">
        <f t="shared" si="3"/>
        <v>2.717245090126446E-2</v>
      </c>
      <c r="M10" s="32">
        <f t="shared" si="4"/>
        <v>1.0296398891966758</v>
      </c>
      <c r="N10" s="32">
        <f t="shared" si="5"/>
        <v>1.0344080195069087</v>
      </c>
      <c r="O10" s="20"/>
      <c r="P10" s="20"/>
      <c r="Q10" s="20"/>
      <c r="R10" s="20"/>
      <c r="S10" s="20"/>
      <c r="T10" s="20"/>
      <c r="U10" s="20"/>
      <c r="V10" s="20"/>
    </row>
    <row r="11" spans="1:22" x14ac:dyDescent="0.25">
      <c r="A11" s="5" t="s">
        <v>18</v>
      </c>
      <c r="B11" s="5" t="s">
        <v>19</v>
      </c>
      <c r="C11" s="5">
        <v>64742</v>
      </c>
      <c r="D11" s="5">
        <v>50171</v>
      </c>
      <c r="E11" s="5">
        <v>11839</v>
      </c>
      <c r="F11" s="19">
        <v>11901</v>
      </c>
      <c r="G11" s="19">
        <f>_xlfn.XLOOKUP(B11,Total!B:B,Total!G:G)</f>
        <v>12652</v>
      </c>
      <c r="H11" s="19">
        <f>_xlfn.XLOOKUP(B11,Total!B:B,Total!AY:AY)</f>
        <v>12833</v>
      </c>
      <c r="I11" s="14">
        <f t="shared" si="0"/>
        <v>0.25217755276952819</v>
      </c>
      <c r="J11" s="14">
        <f t="shared" si="1"/>
        <v>0.25578521456618364</v>
      </c>
      <c r="K11" s="5">
        <f t="shared" si="2"/>
        <v>181</v>
      </c>
      <c r="L11" s="14">
        <f t="shared" si="3"/>
        <v>1.430603857097692E-2</v>
      </c>
      <c r="M11" s="18">
        <f t="shared" si="4"/>
        <v>1.0686713404848383</v>
      </c>
      <c r="N11" s="18">
        <f t="shared" si="5"/>
        <v>1.0783127468279976</v>
      </c>
      <c r="O11" s="19"/>
      <c r="P11" s="19"/>
      <c r="Q11" s="19"/>
      <c r="R11" s="19"/>
      <c r="S11" s="19"/>
      <c r="T11" s="19"/>
      <c r="U11" s="19"/>
      <c r="V11" s="19"/>
    </row>
    <row r="12" spans="1:22" x14ac:dyDescent="0.25">
      <c r="A12" s="4" t="s">
        <v>46</v>
      </c>
      <c r="B12" s="4" t="s">
        <v>47</v>
      </c>
      <c r="C12" s="4">
        <v>22815</v>
      </c>
      <c r="D12" s="4">
        <v>17367</v>
      </c>
      <c r="E12" s="4">
        <v>3945</v>
      </c>
      <c r="F12" s="4">
        <v>4126</v>
      </c>
      <c r="G12" s="4">
        <f>_xlfn.XLOOKUP(B12,Total!B:B,Total!G:G)</f>
        <v>4163</v>
      </c>
      <c r="H12" s="20">
        <f>_xlfn.XLOOKUP(B12,Total!B:B,Total!AY:AY)</f>
        <v>4398</v>
      </c>
      <c r="I12" s="24">
        <f t="shared" si="0"/>
        <v>0.23970749121897852</v>
      </c>
      <c r="J12" s="24">
        <f t="shared" si="1"/>
        <v>0.2532389013646571</v>
      </c>
      <c r="K12" s="4">
        <f t="shared" si="2"/>
        <v>235</v>
      </c>
      <c r="L12" s="24">
        <f t="shared" si="3"/>
        <v>5.6449675714628875E-2</v>
      </c>
      <c r="M12" s="32">
        <f t="shared" si="4"/>
        <v>1.0552598225602028</v>
      </c>
      <c r="N12" s="32">
        <f t="shared" si="5"/>
        <v>1.065923412506059</v>
      </c>
      <c r="O12" s="20"/>
      <c r="P12" s="20"/>
      <c r="Q12" s="20"/>
      <c r="R12" s="20"/>
      <c r="S12" s="20"/>
      <c r="T12" s="20"/>
      <c r="U12" s="20"/>
      <c r="V12" s="20"/>
    </row>
    <row r="13" spans="1:22" x14ac:dyDescent="0.25">
      <c r="A13" s="5" t="s">
        <v>12</v>
      </c>
      <c r="B13" s="5" t="s">
        <v>13</v>
      </c>
      <c r="C13" s="5">
        <v>82745</v>
      </c>
      <c r="D13" s="5">
        <v>65980</v>
      </c>
      <c r="E13" s="5">
        <v>14551</v>
      </c>
      <c r="F13" s="19">
        <v>15027</v>
      </c>
      <c r="G13" s="19">
        <f>_xlfn.XLOOKUP(B13,Total!B:B,Total!G:G)</f>
        <v>15571</v>
      </c>
      <c r="H13" s="19">
        <f>_xlfn.XLOOKUP(B13,Total!B:B,Total!AY:AY)</f>
        <v>16412</v>
      </c>
      <c r="I13" s="14">
        <f t="shared" si="0"/>
        <v>0.23599575628978478</v>
      </c>
      <c r="J13" s="14">
        <f t="shared" si="1"/>
        <v>0.24874204304334646</v>
      </c>
      <c r="K13" s="5">
        <f t="shared" si="2"/>
        <v>841</v>
      </c>
      <c r="L13" s="14">
        <f t="shared" si="3"/>
        <v>5.4010660843876436E-2</v>
      </c>
      <c r="M13" s="18">
        <f t="shared" si="4"/>
        <v>1.0700982750326438</v>
      </c>
      <c r="N13" s="18">
        <f t="shared" si="5"/>
        <v>1.0921674319558128</v>
      </c>
      <c r="O13" s="19"/>
      <c r="P13" s="19"/>
      <c r="Q13" s="19"/>
      <c r="R13" s="19"/>
      <c r="S13" s="19"/>
      <c r="T13" s="19"/>
      <c r="U13" s="19"/>
      <c r="V13" s="19"/>
    </row>
    <row r="14" spans="1:22" x14ac:dyDescent="0.25">
      <c r="A14" s="4" t="s">
        <v>24</v>
      </c>
      <c r="B14" s="4" t="s">
        <v>25</v>
      </c>
      <c r="C14" s="4">
        <v>70975</v>
      </c>
      <c r="D14" s="4">
        <v>54812</v>
      </c>
      <c r="E14" s="4">
        <v>10092</v>
      </c>
      <c r="F14" s="4">
        <v>10670</v>
      </c>
      <c r="G14" s="4">
        <f>_xlfn.XLOOKUP(B14,Total!B:B,Total!G:G)</f>
        <v>10305</v>
      </c>
      <c r="H14" s="20">
        <f>_xlfn.XLOOKUP(B14,Total!B:B,Total!AY:AY)</f>
        <v>10968</v>
      </c>
      <c r="I14" s="24">
        <f t="shared" si="0"/>
        <v>0.18800627599795666</v>
      </c>
      <c r="J14" s="24">
        <f t="shared" si="1"/>
        <v>0.20010216740859665</v>
      </c>
      <c r="K14" s="4">
        <f t="shared" si="2"/>
        <v>663</v>
      </c>
      <c r="L14" s="24">
        <f t="shared" si="3"/>
        <v>6.4337700145560409E-2</v>
      </c>
      <c r="M14" s="32">
        <f t="shared" si="4"/>
        <v>1.0211058263971462</v>
      </c>
      <c r="N14" s="32">
        <f t="shared" si="5"/>
        <v>1.0279287722586692</v>
      </c>
      <c r="O14" s="20"/>
      <c r="P14" s="20"/>
      <c r="Q14" s="20"/>
      <c r="R14" s="20"/>
      <c r="S14" s="20"/>
      <c r="T14" s="20"/>
      <c r="U14" s="20"/>
      <c r="V14" s="20"/>
    </row>
    <row r="15" spans="1:22" x14ac:dyDescent="0.25">
      <c r="A15" s="5" t="s">
        <v>36</v>
      </c>
      <c r="B15" s="5" t="s">
        <v>37</v>
      </c>
      <c r="C15" s="5">
        <v>33008</v>
      </c>
      <c r="D15" s="5">
        <v>26385</v>
      </c>
      <c r="E15" s="5">
        <v>4844</v>
      </c>
      <c r="F15" s="19">
        <v>5105</v>
      </c>
      <c r="G15" s="19">
        <f>_xlfn.XLOOKUP(B15,Total!B:B,Total!G:G)</f>
        <v>4951</v>
      </c>
      <c r="H15" s="19">
        <f>_xlfn.XLOOKUP(B15,Total!B:B,Total!AY:AY)</f>
        <v>5257</v>
      </c>
      <c r="I15" s="14">
        <f t="shared" si="0"/>
        <v>0.18764449497820732</v>
      </c>
      <c r="J15" s="14">
        <f t="shared" si="1"/>
        <v>0.19924199355694525</v>
      </c>
      <c r="K15" s="5">
        <f t="shared" si="2"/>
        <v>306</v>
      </c>
      <c r="L15" s="14">
        <f t="shared" si="3"/>
        <v>6.1805695819026459E-2</v>
      </c>
      <c r="M15" s="18">
        <f t="shared" si="4"/>
        <v>1.0220891824938068</v>
      </c>
      <c r="N15" s="18">
        <f t="shared" si="5"/>
        <v>1.0297747306562195</v>
      </c>
      <c r="O15" s="19"/>
      <c r="P15" s="19"/>
      <c r="Q15" s="19"/>
      <c r="R15" s="19"/>
      <c r="S15" s="19"/>
      <c r="T15" s="19"/>
      <c r="U15" s="19"/>
      <c r="V15" s="19"/>
    </row>
    <row r="16" spans="1:22" x14ac:dyDescent="0.25">
      <c r="A16" s="4" t="s">
        <v>38</v>
      </c>
      <c r="B16" s="4" t="s">
        <v>39</v>
      </c>
      <c r="C16" s="4">
        <v>40664</v>
      </c>
      <c r="D16" s="4">
        <v>31671</v>
      </c>
      <c r="E16" s="4">
        <v>5790</v>
      </c>
      <c r="F16" s="4">
        <v>6091</v>
      </c>
      <c r="G16" s="4">
        <f>_xlfn.XLOOKUP(B16,Total!B:B,Total!G:G)</f>
        <v>5977</v>
      </c>
      <c r="H16" s="20">
        <f>_xlfn.XLOOKUP(B16,Total!B:B,Total!AY:AY)</f>
        <v>6305</v>
      </c>
      <c r="I16" s="24">
        <f t="shared" si="0"/>
        <v>0.18872154336774968</v>
      </c>
      <c r="J16" s="24">
        <f t="shared" si="1"/>
        <v>0.19907802090240284</v>
      </c>
      <c r="K16" s="4">
        <f t="shared" si="2"/>
        <v>328</v>
      </c>
      <c r="L16" s="24">
        <f t="shared" si="3"/>
        <v>5.4877028609670406E-2</v>
      </c>
      <c r="M16" s="32">
        <f t="shared" si="4"/>
        <v>1.0322970639032816</v>
      </c>
      <c r="N16" s="32">
        <f t="shared" si="5"/>
        <v>1.0351338039730751</v>
      </c>
      <c r="O16" s="20"/>
      <c r="P16" s="20"/>
      <c r="Q16" s="20"/>
      <c r="R16" s="20"/>
      <c r="S16" s="20"/>
      <c r="T16" s="20"/>
      <c r="U16" s="20"/>
      <c r="V16" s="20"/>
    </row>
    <row r="17" spans="1:22" x14ac:dyDescent="0.25">
      <c r="A17" s="5" t="s">
        <v>40</v>
      </c>
      <c r="B17" s="5" t="s">
        <v>41</v>
      </c>
      <c r="C17" s="5">
        <v>35566</v>
      </c>
      <c r="D17" s="5">
        <v>27813</v>
      </c>
      <c r="E17" s="5">
        <v>4960</v>
      </c>
      <c r="F17" s="19">
        <v>5153</v>
      </c>
      <c r="G17" s="19">
        <f>_xlfn.XLOOKUP(B17,Total!B:B,Total!G:G)</f>
        <v>5224</v>
      </c>
      <c r="H17" s="19">
        <f>_xlfn.XLOOKUP(B17,Total!B:B,Total!AY:AY)</f>
        <v>5436</v>
      </c>
      <c r="I17" s="14">
        <f t="shared" si="0"/>
        <v>0.18782583683888829</v>
      </c>
      <c r="J17" s="14">
        <f t="shared" si="1"/>
        <v>0.19544817171826123</v>
      </c>
      <c r="K17" s="5">
        <f t="shared" si="2"/>
        <v>212</v>
      </c>
      <c r="L17" s="14">
        <f t="shared" si="3"/>
        <v>4.0581929555895867E-2</v>
      </c>
      <c r="M17" s="18">
        <f t="shared" si="4"/>
        <v>1.0532258064516129</v>
      </c>
      <c r="N17" s="18">
        <f t="shared" si="5"/>
        <v>1.054919464389676</v>
      </c>
      <c r="O17" s="19"/>
      <c r="P17" s="19"/>
      <c r="Q17" s="19"/>
      <c r="R17" s="19"/>
      <c r="S17" s="19"/>
      <c r="T17" s="19"/>
      <c r="U17" s="19"/>
      <c r="V17" s="19"/>
    </row>
    <row r="18" spans="1:22" x14ac:dyDescent="0.25">
      <c r="A18" s="4" t="s">
        <v>42</v>
      </c>
      <c r="B18" s="4" t="s">
        <v>43</v>
      </c>
      <c r="C18" s="4">
        <v>30503</v>
      </c>
      <c r="D18" s="4">
        <v>23708</v>
      </c>
      <c r="E18" s="4">
        <v>4235</v>
      </c>
      <c r="F18" s="4">
        <v>4322</v>
      </c>
      <c r="G18" s="4">
        <f>_xlfn.XLOOKUP(B18,Total!B:B,Total!G:G)</f>
        <v>4367</v>
      </c>
      <c r="H18" s="20">
        <f>_xlfn.XLOOKUP(B18,Total!B:B,Total!AY:AY)</f>
        <v>4456</v>
      </c>
      <c r="I18" s="24">
        <f t="shared" si="0"/>
        <v>0.18419942635397335</v>
      </c>
      <c r="J18" s="24">
        <f t="shared" si="1"/>
        <v>0.18795343344018897</v>
      </c>
      <c r="K18" s="4">
        <f t="shared" si="2"/>
        <v>89</v>
      </c>
      <c r="L18" s="24">
        <f t="shared" si="3"/>
        <v>2.038012365468285E-2</v>
      </c>
      <c r="M18" s="32">
        <f t="shared" si="4"/>
        <v>1.0311688311688312</v>
      </c>
      <c r="N18" s="32">
        <f t="shared" si="5"/>
        <v>1.0310041647385471</v>
      </c>
      <c r="O18" s="20"/>
      <c r="P18" s="20"/>
      <c r="Q18" s="20"/>
      <c r="R18" s="20"/>
      <c r="S18" s="20"/>
      <c r="T18" s="20"/>
      <c r="U18" s="20"/>
      <c r="V18" s="20"/>
    </row>
    <row r="19" spans="1:22" x14ac:dyDescent="0.25">
      <c r="A19" s="5" t="s">
        <v>28</v>
      </c>
      <c r="B19" s="5" t="s">
        <v>29</v>
      </c>
      <c r="C19" s="5">
        <v>82980</v>
      </c>
      <c r="D19" s="5">
        <v>66517</v>
      </c>
      <c r="E19" s="5">
        <v>11191</v>
      </c>
      <c r="F19" s="19">
        <v>11535</v>
      </c>
      <c r="G19" s="19">
        <f>_xlfn.XLOOKUP(B19,Total!B:B,Total!G:G)</f>
        <v>11714</v>
      </c>
      <c r="H19" s="19">
        <f>_xlfn.XLOOKUP(B19,Total!B:B,Total!AY:AY)</f>
        <v>12234</v>
      </c>
      <c r="I19" s="14">
        <f t="shared" si="0"/>
        <v>0.17610535652539952</v>
      </c>
      <c r="J19" s="14">
        <f t="shared" si="1"/>
        <v>0.18392290692604898</v>
      </c>
      <c r="K19" s="5">
        <f t="shared" si="2"/>
        <v>520</v>
      </c>
      <c r="L19" s="14">
        <f t="shared" si="3"/>
        <v>4.4391326617722382E-2</v>
      </c>
      <c r="M19" s="18">
        <f t="shared" si="4"/>
        <v>1.0467339826646411</v>
      </c>
      <c r="N19" s="18">
        <f t="shared" si="5"/>
        <v>1.0605981794538362</v>
      </c>
      <c r="O19" s="19"/>
      <c r="P19" s="19"/>
      <c r="Q19" s="19"/>
      <c r="R19" s="19"/>
      <c r="S19" s="19"/>
      <c r="T19" s="19"/>
      <c r="U19" s="19"/>
      <c r="V19" s="19"/>
    </row>
    <row r="20" spans="1:22" x14ac:dyDescent="0.25">
      <c r="A20" s="4" t="s">
        <v>54</v>
      </c>
      <c r="B20" s="4" t="s">
        <v>55</v>
      </c>
      <c r="C20" s="4">
        <v>22868</v>
      </c>
      <c r="D20" s="4">
        <v>19137</v>
      </c>
      <c r="E20" s="4">
        <v>3058</v>
      </c>
      <c r="F20" s="4">
        <v>3239</v>
      </c>
      <c r="G20" s="4">
        <f>_xlfn.XLOOKUP(B20,Total!B:B,Total!G:G)</f>
        <v>3206</v>
      </c>
      <c r="H20" s="20">
        <f>_xlfn.XLOOKUP(B20,Total!B:B,Total!AY:AY)</f>
        <v>3418</v>
      </c>
      <c r="I20" s="24">
        <f t="shared" si="0"/>
        <v>0.1675288707738935</v>
      </c>
      <c r="J20" s="24">
        <f t="shared" si="1"/>
        <v>0.17860688718189893</v>
      </c>
      <c r="K20" s="4">
        <f t="shared" si="2"/>
        <v>212</v>
      </c>
      <c r="L20" s="24">
        <f t="shared" si="3"/>
        <v>6.6126013724267005E-2</v>
      </c>
      <c r="M20" s="32">
        <f t="shared" si="4"/>
        <v>1.0483976455199477</v>
      </c>
      <c r="N20" s="32">
        <f t="shared" si="5"/>
        <v>1.0552639703612225</v>
      </c>
      <c r="O20" s="20"/>
      <c r="P20" s="20"/>
      <c r="Q20" s="20"/>
      <c r="R20" s="20"/>
      <c r="S20" s="20"/>
      <c r="T20" s="20"/>
      <c r="U20" s="20"/>
      <c r="V20" s="20"/>
    </row>
    <row r="21" spans="1:22" x14ac:dyDescent="0.25">
      <c r="A21" s="5" t="s">
        <v>44</v>
      </c>
      <c r="B21" s="5" t="s">
        <v>45</v>
      </c>
      <c r="C21" s="5">
        <v>41799</v>
      </c>
      <c r="D21" s="5">
        <v>32724</v>
      </c>
      <c r="E21" s="5">
        <v>5358</v>
      </c>
      <c r="F21" s="19">
        <v>5514</v>
      </c>
      <c r="G21" s="19">
        <f>_xlfn.XLOOKUP(B21,Total!B:B,Total!G:G)</f>
        <v>5593</v>
      </c>
      <c r="H21" s="19">
        <f>_xlfn.XLOOKUP(B21,Total!B:B,Total!AY:AY)</f>
        <v>5797</v>
      </c>
      <c r="I21" s="14">
        <f t="shared" si="0"/>
        <v>0.17091431365358759</v>
      </c>
      <c r="J21" s="14">
        <f t="shared" si="1"/>
        <v>0.17714827038259381</v>
      </c>
      <c r="K21" s="5">
        <f t="shared" si="2"/>
        <v>204</v>
      </c>
      <c r="L21" s="14">
        <f t="shared" si="3"/>
        <v>3.64741641337386E-2</v>
      </c>
      <c r="M21" s="18">
        <f t="shared" si="4"/>
        <v>1.0438596491228069</v>
      </c>
      <c r="N21" s="18">
        <f t="shared" si="5"/>
        <v>1.0513239027928909</v>
      </c>
      <c r="O21" s="19"/>
      <c r="P21" s="19"/>
      <c r="Q21" s="19"/>
      <c r="R21" s="19"/>
      <c r="S21" s="19"/>
      <c r="T21" s="19"/>
      <c r="U21" s="19"/>
      <c r="V21" s="19"/>
    </row>
    <row r="22" spans="1:22" x14ac:dyDescent="0.25">
      <c r="A22" s="4" t="s">
        <v>32</v>
      </c>
      <c r="B22" s="4" t="s">
        <v>33</v>
      </c>
      <c r="C22" s="4">
        <v>45749</v>
      </c>
      <c r="D22" s="4">
        <v>36111</v>
      </c>
      <c r="E22" s="4">
        <v>5637</v>
      </c>
      <c r="F22" s="4">
        <v>5922</v>
      </c>
      <c r="G22" s="4">
        <f>_xlfn.XLOOKUP(B22,Total!B:B,Total!G:G)</f>
        <v>5900</v>
      </c>
      <c r="H22" s="20">
        <f>_xlfn.XLOOKUP(B22,Total!B:B,Total!AY:AY)</f>
        <v>6210</v>
      </c>
      <c r="I22" s="24">
        <f t="shared" si="0"/>
        <v>0.16338511810805573</v>
      </c>
      <c r="J22" s="24">
        <f t="shared" si="1"/>
        <v>0.17196975990695357</v>
      </c>
      <c r="K22" s="4">
        <f t="shared" si="2"/>
        <v>310</v>
      </c>
      <c r="L22" s="24">
        <f t="shared" si="3"/>
        <v>5.254237288135593E-2</v>
      </c>
      <c r="M22" s="32">
        <f t="shared" si="4"/>
        <v>1.0466560227071138</v>
      </c>
      <c r="N22" s="32">
        <f t="shared" si="5"/>
        <v>1.0486322188449848</v>
      </c>
      <c r="O22" s="20"/>
      <c r="P22" s="20"/>
      <c r="Q22" s="20"/>
      <c r="R22" s="20"/>
      <c r="S22" s="20"/>
      <c r="T22" s="20"/>
      <c r="U22" s="20"/>
      <c r="V22" s="20"/>
    </row>
    <row r="23" spans="1:22" x14ac:dyDescent="0.25">
      <c r="A23" s="5" t="s">
        <v>10</v>
      </c>
      <c r="B23" s="5" t="s">
        <v>11</v>
      </c>
      <c r="C23" s="5">
        <v>109255</v>
      </c>
      <c r="D23" s="5">
        <v>84228</v>
      </c>
      <c r="E23" s="5">
        <v>13031</v>
      </c>
      <c r="F23" s="19">
        <v>13576</v>
      </c>
      <c r="G23" s="19">
        <f>_xlfn.XLOOKUP(B23,Total!B:B,Total!G:G)</f>
        <v>13869</v>
      </c>
      <c r="H23" s="19">
        <f>_xlfn.XLOOKUP(B23,Total!B:B,Total!AY:AY)</f>
        <v>14478</v>
      </c>
      <c r="I23" s="14">
        <f t="shared" si="0"/>
        <v>0.16466020800683859</v>
      </c>
      <c r="J23" s="14">
        <f t="shared" si="1"/>
        <v>0.17189058270408891</v>
      </c>
      <c r="K23" s="5">
        <f t="shared" si="2"/>
        <v>609</v>
      </c>
      <c r="L23" s="14">
        <f t="shared" si="3"/>
        <v>4.3910880380705168E-2</v>
      </c>
      <c r="M23" s="18">
        <f t="shared" si="4"/>
        <v>1.0643081881666794</v>
      </c>
      <c r="N23" s="18">
        <f t="shared" si="5"/>
        <v>1.0664407778432528</v>
      </c>
      <c r="O23" s="19"/>
      <c r="P23" s="19"/>
      <c r="Q23" s="19"/>
      <c r="R23" s="19"/>
      <c r="S23" s="19"/>
      <c r="T23" s="19"/>
      <c r="U23" s="19"/>
      <c r="V23" s="19"/>
    </row>
    <row r="24" spans="1:22" x14ac:dyDescent="0.25">
      <c r="A24" s="4" t="s">
        <v>26</v>
      </c>
      <c r="B24" s="4" t="s">
        <v>27</v>
      </c>
      <c r="C24" s="4">
        <v>55044</v>
      </c>
      <c r="D24" s="4">
        <v>41804</v>
      </c>
      <c r="E24" s="4">
        <v>5716</v>
      </c>
      <c r="F24" s="4">
        <v>5950</v>
      </c>
      <c r="G24" s="4">
        <f>_xlfn.XLOOKUP(B24,Total!B:B,Total!G:G)</f>
        <v>5950</v>
      </c>
      <c r="H24" s="20">
        <f>_xlfn.XLOOKUP(B24,Total!B:B,Total!AY:AY)</f>
        <v>6269</v>
      </c>
      <c r="I24" s="24">
        <f t="shared" si="0"/>
        <v>0.14233087742799733</v>
      </c>
      <c r="J24" s="24">
        <f t="shared" si="1"/>
        <v>0.1499617261506076</v>
      </c>
      <c r="K24" s="4">
        <f t="shared" si="2"/>
        <v>319</v>
      </c>
      <c r="L24" s="24">
        <f t="shared" si="3"/>
        <v>5.3613445378151263E-2</v>
      </c>
      <c r="M24" s="32">
        <f t="shared" si="4"/>
        <v>1.0409377186843947</v>
      </c>
      <c r="N24" s="32">
        <f t="shared" si="5"/>
        <v>1.0536134453781512</v>
      </c>
      <c r="O24" s="20"/>
      <c r="P24" s="20"/>
      <c r="Q24" s="20"/>
      <c r="R24" s="20"/>
      <c r="S24" s="20"/>
      <c r="T24" s="20"/>
      <c r="U24" s="20"/>
      <c r="V24" s="20"/>
    </row>
    <row r="25" spans="1:22" x14ac:dyDescent="0.25">
      <c r="A25" s="5" t="s">
        <v>8</v>
      </c>
      <c r="B25" s="5" t="s">
        <v>9</v>
      </c>
      <c r="C25" s="5">
        <v>147246</v>
      </c>
      <c r="D25" s="5">
        <v>115421</v>
      </c>
      <c r="E25" s="5">
        <v>15388</v>
      </c>
      <c r="F25" s="19">
        <v>16152</v>
      </c>
      <c r="G25" s="19">
        <f>_xlfn.XLOOKUP(B25,Total!B:B,Total!G:G)</f>
        <v>16342</v>
      </c>
      <c r="H25" s="19">
        <f>_xlfn.XLOOKUP(B25,Total!B:B,Total!AY:AY)</f>
        <v>17301</v>
      </c>
      <c r="I25" s="14">
        <f t="shared" si="0"/>
        <v>0.14158601987506605</v>
      </c>
      <c r="J25" s="14">
        <f t="shared" si="1"/>
        <v>0.1498947331941328</v>
      </c>
      <c r="K25" s="5">
        <f t="shared" si="2"/>
        <v>959</v>
      </c>
      <c r="L25" s="14">
        <f t="shared" si="3"/>
        <v>5.8683147717537631E-2</v>
      </c>
      <c r="M25" s="18">
        <f t="shared" si="4"/>
        <v>1.0619963608006238</v>
      </c>
      <c r="N25" s="18">
        <f t="shared" si="5"/>
        <v>1.0711367013372957</v>
      </c>
      <c r="O25" s="19"/>
      <c r="P25" s="19"/>
      <c r="Q25" s="19"/>
      <c r="R25" s="19"/>
      <c r="S25" s="19"/>
      <c r="T25" s="19"/>
      <c r="U25" s="19"/>
      <c r="V25" s="19"/>
    </row>
    <row r="26" spans="1:22" x14ac:dyDescent="0.25">
      <c r="A26" s="4" t="s">
        <v>16</v>
      </c>
      <c r="B26" s="4" t="s">
        <v>17</v>
      </c>
      <c r="C26" s="4">
        <v>78699</v>
      </c>
      <c r="D26" s="4">
        <v>62970</v>
      </c>
      <c r="E26" s="4">
        <v>8802</v>
      </c>
      <c r="F26" s="4">
        <v>8812</v>
      </c>
      <c r="G26" s="4">
        <f>_xlfn.XLOOKUP(B26,Total!B:B,Total!G:G)</f>
        <v>9251</v>
      </c>
      <c r="H26" s="20">
        <f>_xlfn.XLOOKUP(B26,Total!B:B,Total!AY:AY)</f>
        <v>9339</v>
      </c>
      <c r="I26" s="24">
        <f t="shared" si="0"/>
        <v>0.14691122756868349</v>
      </c>
      <c r="J26" s="24">
        <f t="shared" si="1"/>
        <v>0.14830871843735111</v>
      </c>
      <c r="K26" s="4">
        <f t="shared" si="2"/>
        <v>88</v>
      </c>
      <c r="L26" s="24">
        <f t="shared" si="3"/>
        <v>9.512485136741973E-3</v>
      </c>
      <c r="M26" s="32">
        <f t="shared" si="4"/>
        <v>1.0510111338332198</v>
      </c>
      <c r="N26" s="32">
        <f t="shared" si="5"/>
        <v>1.0598048116205174</v>
      </c>
      <c r="O26" s="20"/>
      <c r="P26" s="20"/>
      <c r="Q26" s="20"/>
      <c r="R26" s="20"/>
      <c r="S26" s="20"/>
      <c r="T26" s="20"/>
      <c r="U26" s="20"/>
      <c r="V26" s="20"/>
    </row>
    <row r="27" spans="1:22" x14ac:dyDescent="0.25">
      <c r="A27" s="5" t="s">
        <v>20</v>
      </c>
      <c r="B27" s="5" t="s">
        <v>21</v>
      </c>
      <c r="C27" s="5">
        <v>61528</v>
      </c>
      <c r="D27" s="5">
        <v>47591</v>
      </c>
      <c r="E27" s="5">
        <v>6269</v>
      </c>
      <c r="F27" s="19">
        <v>6504</v>
      </c>
      <c r="G27" s="19">
        <f>_xlfn.XLOOKUP(B27,Total!B:B,Total!G:G)</f>
        <v>6532</v>
      </c>
      <c r="H27" s="19">
        <f>_xlfn.XLOOKUP(B27,Total!B:B,Total!AY:AY)</f>
        <v>6921</v>
      </c>
      <c r="I27" s="14">
        <f t="shared" si="0"/>
        <v>0.13725284192389317</v>
      </c>
      <c r="J27" s="14">
        <f t="shared" si="1"/>
        <v>0.14542665630056104</v>
      </c>
      <c r="K27" s="5">
        <f t="shared" si="2"/>
        <v>389</v>
      </c>
      <c r="L27" s="14">
        <f t="shared" si="3"/>
        <v>5.9552969993876298E-2</v>
      </c>
      <c r="M27" s="18">
        <f t="shared" si="4"/>
        <v>1.0419524645078959</v>
      </c>
      <c r="N27" s="18">
        <f t="shared" si="5"/>
        <v>1.0641143911439115</v>
      </c>
      <c r="O27" s="19"/>
      <c r="P27" s="19"/>
      <c r="Q27" s="19"/>
      <c r="R27" s="19"/>
      <c r="S27" s="19"/>
      <c r="T27" s="19"/>
      <c r="U27" s="19"/>
      <c r="V27" s="19"/>
    </row>
    <row r="28" spans="1:22" x14ac:dyDescent="0.25">
      <c r="A28" s="4" t="s">
        <v>34</v>
      </c>
      <c r="B28" s="4" t="s">
        <v>35</v>
      </c>
      <c r="C28" s="4">
        <v>43888</v>
      </c>
      <c r="D28" s="4">
        <v>32516</v>
      </c>
      <c r="E28" s="4">
        <v>4147</v>
      </c>
      <c r="F28" s="4">
        <v>4413</v>
      </c>
      <c r="G28" s="4">
        <f>_xlfn.XLOOKUP(B28,Total!B:B,Total!G:G)</f>
        <v>4205</v>
      </c>
      <c r="H28" s="20">
        <f>_xlfn.XLOOKUP(B28,Total!B:B,Total!AY:AY)</f>
        <v>4504</v>
      </c>
      <c r="I28" s="24">
        <f t="shared" si="0"/>
        <v>0.12932094968630828</v>
      </c>
      <c r="J28" s="24">
        <f t="shared" si="1"/>
        <v>0.13851642268421699</v>
      </c>
      <c r="K28" s="4">
        <f t="shared" si="2"/>
        <v>299</v>
      </c>
      <c r="L28" s="24">
        <f t="shared" si="3"/>
        <v>7.1105826397146257E-2</v>
      </c>
      <c r="M28" s="32">
        <f t="shared" si="4"/>
        <v>1.013986013986014</v>
      </c>
      <c r="N28" s="32">
        <f t="shared" si="5"/>
        <v>1.020620892816678</v>
      </c>
      <c r="O28" s="20"/>
      <c r="P28" s="20"/>
      <c r="Q28" s="20"/>
      <c r="R28" s="20"/>
      <c r="S28" s="20"/>
      <c r="T28" s="20"/>
      <c r="U28" s="20"/>
      <c r="V28" s="20"/>
    </row>
    <row r="29" spans="1:22" x14ac:dyDescent="0.25">
      <c r="A29" s="5" t="s">
        <v>14</v>
      </c>
      <c r="B29" s="5" t="s">
        <v>15</v>
      </c>
      <c r="C29" s="5">
        <v>63949</v>
      </c>
      <c r="D29" s="5">
        <v>47439</v>
      </c>
      <c r="E29" s="5">
        <v>6061</v>
      </c>
      <c r="F29" s="19">
        <v>6301</v>
      </c>
      <c r="G29" s="19">
        <f>_xlfn.XLOOKUP(B29,Total!B:B,Total!G:G)</f>
        <v>6215</v>
      </c>
      <c r="H29" s="19">
        <f>_xlfn.XLOOKUP(B29,Total!B:B,Total!AY:AY)</f>
        <v>6554</v>
      </c>
      <c r="I29" s="14">
        <f t="shared" si="0"/>
        <v>0.13101035013385612</v>
      </c>
      <c r="J29" s="14">
        <f t="shared" si="1"/>
        <v>0.13815636923206645</v>
      </c>
      <c r="K29" s="5">
        <f t="shared" si="2"/>
        <v>339</v>
      </c>
      <c r="L29" s="14">
        <f t="shared" si="3"/>
        <v>5.4545454545454543E-2</v>
      </c>
      <c r="M29" s="18">
        <f t="shared" si="4"/>
        <v>1.0254083484573502</v>
      </c>
      <c r="N29" s="18">
        <f t="shared" si="5"/>
        <v>1.0401523567687669</v>
      </c>
      <c r="O29" s="19"/>
      <c r="P29" s="19"/>
      <c r="Q29" s="19"/>
      <c r="R29" s="19"/>
      <c r="S29" s="19"/>
      <c r="T29" s="19"/>
      <c r="U29" s="19"/>
      <c r="V29" s="19"/>
    </row>
    <row r="30" spans="1:22" x14ac:dyDescent="0.25">
      <c r="A30" s="4" t="s">
        <v>67</v>
      </c>
      <c r="B30" s="4" t="s">
        <v>68</v>
      </c>
      <c r="C30" s="4">
        <v>3385</v>
      </c>
      <c r="D30" s="4">
        <v>2940</v>
      </c>
      <c r="E30" s="4">
        <v>39</v>
      </c>
      <c r="F30" s="4">
        <v>184</v>
      </c>
      <c r="G30" s="4">
        <f>_xlfn.XLOOKUP(B30,Total!B:B,Total!G:G)</f>
        <v>41</v>
      </c>
      <c r="H30" s="20">
        <f>_xlfn.XLOOKUP(B30,Total!B:B,Total!AY:AY)</f>
        <v>190</v>
      </c>
      <c r="I30" s="24">
        <f t="shared" si="0"/>
        <v>1.3945578231292517E-2</v>
      </c>
      <c r="J30" s="24">
        <f t="shared" si="1"/>
        <v>6.4625850340136057E-2</v>
      </c>
      <c r="K30" s="4">
        <f t="shared" si="2"/>
        <v>149</v>
      </c>
      <c r="L30" s="24">
        <f t="shared" si="3"/>
        <v>3.6341463414634148</v>
      </c>
      <c r="M30" s="32">
        <f t="shared" si="4"/>
        <v>1.0512820512820513</v>
      </c>
      <c r="N30" s="32">
        <f t="shared" si="5"/>
        <v>1.0326086956521738</v>
      </c>
      <c r="O30" s="20"/>
      <c r="P30" s="20"/>
      <c r="Q30" s="20"/>
      <c r="R30" s="20"/>
      <c r="S30" s="20"/>
      <c r="T30" s="20"/>
      <c r="U30" s="20"/>
      <c r="V30" s="20"/>
    </row>
    <row r="31" spans="1:22" x14ac:dyDescent="0.25">
      <c r="A31" s="5" t="s">
        <v>65</v>
      </c>
      <c r="B31" s="5" t="s">
        <v>66</v>
      </c>
      <c r="C31" s="5">
        <v>9485</v>
      </c>
      <c r="D31" s="5">
        <v>8435</v>
      </c>
      <c r="E31" s="5">
        <v>193</v>
      </c>
      <c r="F31" s="19">
        <v>389</v>
      </c>
      <c r="G31" s="19">
        <f>_xlfn.XLOOKUP(B31,Total!B:B,Total!G:G)</f>
        <v>207</v>
      </c>
      <c r="H31" s="19">
        <f>_xlfn.XLOOKUP(B31,Total!B:B,Total!AY:AY)</f>
        <v>418</v>
      </c>
      <c r="I31" s="14">
        <f t="shared" si="0"/>
        <v>2.4540604623592175E-2</v>
      </c>
      <c r="J31" s="14">
        <f t="shared" si="1"/>
        <v>4.9555423829282748E-2</v>
      </c>
      <c r="K31" s="5">
        <f t="shared" si="2"/>
        <v>211</v>
      </c>
      <c r="L31" s="14">
        <f t="shared" si="3"/>
        <v>1.0193236714975846</v>
      </c>
      <c r="M31" s="18">
        <f t="shared" si="4"/>
        <v>1.072538860103627</v>
      </c>
      <c r="N31" s="18">
        <f t="shared" si="5"/>
        <v>1.0745501285347043</v>
      </c>
      <c r="O31" s="19"/>
      <c r="P31" s="19"/>
      <c r="Q31" s="19"/>
      <c r="R31" s="19"/>
      <c r="S31" s="19"/>
      <c r="T31" s="19"/>
      <c r="U31" s="19"/>
      <c r="V31" s="19"/>
    </row>
    <row r="32" spans="1:22" x14ac:dyDescent="0.25">
      <c r="A32" s="4" t="s">
        <v>52</v>
      </c>
      <c r="B32" s="4" t="s">
        <v>53</v>
      </c>
      <c r="C32" s="4">
        <v>24308</v>
      </c>
      <c r="D32" s="4">
        <v>18586</v>
      </c>
      <c r="E32" s="4">
        <v>0</v>
      </c>
      <c r="F32" s="4">
        <v>0</v>
      </c>
      <c r="G32" s="4">
        <f>_xlfn.XLOOKUP(B32,Total!B:B,Total!G:G)</f>
        <v>0</v>
      </c>
      <c r="H32" s="20">
        <f>_xlfn.XLOOKUP(B32,Total!B:B,Total!AY:AY)</f>
        <v>0</v>
      </c>
      <c r="I32" s="24">
        <f t="shared" si="0"/>
        <v>0</v>
      </c>
      <c r="J32" s="24">
        <f t="shared" si="1"/>
        <v>0</v>
      </c>
      <c r="K32" s="4">
        <f t="shared" si="2"/>
        <v>0</v>
      </c>
      <c r="L32" s="24"/>
      <c r="M32" s="32"/>
      <c r="N32" s="32"/>
      <c r="O32" s="20"/>
      <c r="P32" s="20"/>
      <c r="Q32" s="20"/>
      <c r="R32" s="20"/>
      <c r="S32" s="20"/>
      <c r="T32" s="20"/>
      <c r="U32" s="20"/>
      <c r="V32" s="20"/>
    </row>
    <row r="33" spans="1:22" x14ac:dyDescent="0.25">
      <c r="A33" s="5" t="s">
        <v>52</v>
      </c>
      <c r="B33" s="5" t="s">
        <v>58</v>
      </c>
      <c r="C33" s="5">
        <v>28896</v>
      </c>
      <c r="D33" s="5">
        <v>23559</v>
      </c>
      <c r="E33" s="5">
        <v>0</v>
      </c>
      <c r="F33" s="19">
        <v>0</v>
      </c>
      <c r="G33" s="19">
        <f>_xlfn.XLOOKUP(B33,Total!B:B,Total!G:G)</f>
        <v>0</v>
      </c>
      <c r="H33" s="19">
        <f>_xlfn.XLOOKUP(B33,Total!B:B,Total!AY:AY)</f>
        <v>0</v>
      </c>
      <c r="I33" s="14">
        <f t="shared" si="0"/>
        <v>0</v>
      </c>
      <c r="J33" s="14">
        <f t="shared" si="1"/>
        <v>0</v>
      </c>
      <c r="K33" s="5">
        <f t="shared" si="2"/>
        <v>0</v>
      </c>
      <c r="L33" s="14"/>
      <c r="M33" s="18"/>
      <c r="N33" s="18"/>
      <c r="O33" s="19"/>
      <c r="P33" s="19"/>
      <c r="Q33" s="19"/>
      <c r="R33" s="19"/>
      <c r="S33" s="19"/>
      <c r="T33" s="19"/>
      <c r="U33" s="19"/>
      <c r="V33" s="19"/>
    </row>
    <row r="34" spans="1:22" x14ac:dyDescent="0.25">
      <c r="A34" s="4" t="s">
        <v>52</v>
      </c>
      <c r="B34" s="4" t="s">
        <v>59</v>
      </c>
      <c r="C34" s="4">
        <v>5607</v>
      </c>
      <c r="D34" s="4">
        <v>4206</v>
      </c>
      <c r="E34" s="4">
        <v>0</v>
      </c>
      <c r="F34" s="4">
        <v>0</v>
      </c>
      <c r="G34" s="4">
        <f>_xlfn.XLOOKUP(B34,Total!B:B,Total!G:G)</f>
        <v>0</v>
      </c>
      <c r="H34" s="20">
        <f>_xlfn.XLOOKUP(B34,Total!B:B,Total!AY:AY)</f>
        <v>0</v>
      </c>
      <c r="I34" s="24">
        <f t="shared" si="0"/>
        <v>0</v>
      </c>
      <c r="J34" s="24">
        <f t="shared" si="1"/>
        <v>0</v>
      </c>
      <c r="K34" s="4">
        <f t="shared" si="2"/>
        <v>0</v>
      </c>
      <c r="L34" s="24"/>
      <c r="M34" s="32"/>
      <c r="N34" s="32"/>
      <c r="O34" s="20"/>
      <c r="P34" s="20"/>
      <c r="Q34" s="20"/>
      <c r="R34" s="20"/>
      <c r="S34" s="20"/>
      <c r="T34" s="20"/>
      <c r="U34" s="20"/>
      <c r="V34" s="20"/>
    </row>
    <row r="35" spans="1:22" x14ac:dyDescent="0.25">
      <c r="A35" s="5" t="s">
        <v>52</v>
      </c>
      <c r="B35" s="5" t="s">
        <v>64</v>
      </c>
      <c r="C35" s="5">
        <v>3041</v>
      </c>
      <c r="D35" s="5">
        <v>2409</v>
      </c>
      <c r="E35" s="5">
        <v>0</v>
      </c>
      <c r="F35" s="19">
        <v>0</v>
      </c>
      <c r="G35" s="19">
        <f>_xlfn.XLOOKUP(B35,Total!B:B,Total!G:G)</f>
        <v>0</v>
      </c>
      <c r="H35" s="19">
        <f>_xlfn.XLOOKUP(B35,Total!B:B,Total!AY:AY)</f>
        <v>0</v>
      </c>
      <c r="I35" s="14">
        <f t="shared" si="0"/>
        <v>0</v>
      </c>
      <c r="J35" s="14">
        <f t="shared" si="1"/>
        <v>0</v>
      </c>
      <c r="K35" s="5">
        <f t="shared" si="2"/>
        <v>0</v>
      </c>
      <c r="L35" s="14"/>
      <c r="M35" s="18"/>
      <c r="N35" s="18"/>
      <c r="O35" s="19"/>
      <c r="P35" s="19"/>
      <c r="Q35" s="19"/>
      <c r="R35" s="19"/>
      <c r="S35" s="19"/>
      <c r="T35" s="19"/>
      <c r="U35" s="19"/>
      <c r="V35" s="19"/>
    </row>
    <row r="36" spans="1:22" x14ac:dyDescent="0.25">
      <c r="A36" s="4" t="s">
        <v>52</v>
      </c>
      <c r="B36" s="4" t="s">
        <v>69</v>
      </c>
      <c r="C36" s="4">
        <v>4493</v>
      </c>
      <c r="D36" s="4">
        <v>3426</v>
      </c>
      <c r="E36" s="4">
        <v>0</v>
      </c>
      <c r="F36" s="4">
        <v>0</v>
      </c>
      <c r="G36" s="4">
        <f>_xlfn.XLOOKUP(B36,Total!B:B,Total!G:G)</f>
        <v>0</v>
      </c>
      <c r="H36" s="20">
        <f>_xlfn.XLOOKUP(B36,Total!B:B,Total!AY:AY)</f>
        <v>0</v>
      </c>
      <c r="I36" s="24">
        <f t="shared" si="0"/>
        <v>0</v>
      </c>
      <c r="J36" s="24">
        <f t="shared" si="1"/>
        <v>0</v>
      </c>
      <c r="K36" s="4">
        <f t="shared" si="2"/>
        <v>0</v>
      </c>
      <c r="L36" s="24"/>
      <c r="M36" s="32"/>
      <c r="N36" s="32"/>
      <c r="O36" s="20"/>
      <c r="P36" s="20"/>
      <c r="Q36" s="20"/>
      <c r="R36" s="20"/>
      <c r="S36" s="20"/>
      <c r="T36" s="20"/>
      <c r="U36" s="20"/>
      <c r="V36" s="20"/>
    </row>
    <row r="37" spans="1:22" x14ac:dyDescent="0.25">
      <c r="A37" s="5" t="s">
        <v>52</v>
      </c>
      <c r="B37" s="5" t="s">
        <v>70</v>
      </c>
      <c r="C37" s="5">
        <v>3943</v>
      </c>
      <c r="D37" s="5">
        <v>3266</v>
      </c>
      <c r="E37" s="5">
        <v>0</v>
      </c>
      <c r="F37" s="19">
        <v>0</v>
      </c>
      <c r="G37" s="19">
        <f>_xlfn.XLOOKUP(B37,Total!B:B,Total!G:G)</f>
        <v>0</v>
      </c>
      <c r="H37" s="19">
        <f>_xlfn.XLOOKUP(B37,Total!B:B,Total!AY:AY)</f>
        <v>0</v>
      </c>
      <c r="I37" s="14">
        <f t="shared" si="0"/>
        <v>0</v>
      </c>
      <c r="J37" s="14">
        <f t="shared" si="1"/>
        <v>0</v>
      </c>
      <c r="K37" s="5">
        <f t="shared" si="2"/>
        <v>0</v>
      </c>
      <c r="L37" s="14"/>
      <c r="M37" s="18"/>
      <c r="N37" s="18"/>
      <c r="O37" s="19"/>
      <c r="P37" s="19"/>
      <c r="Q37" s="19"/>
      <c r="R37" s="19"/>
      <c r="S37" s="19"/>
      <c r="T37" s="19"/>
      <c r="U37" s="19"/>
      <c r="V37" s="19"/>
    </row>
    <row r="38" spans="1:22" x14ac:dyDescent="0.25">
      <c r="A38" s="4" t="s">
        <v>52</v>
      </c>
      <c r="B38" s="4" t="s">
        <v>71</v>
      </c>
      <c r="C38" s="4">
        <v>3240</v>
      </c>
      <c r="D38" s="4">
        <v>2762</v>
      </c>
      <c r="E38" s="4">
        <v>0</v>
      </c>
      <c r="F38" s="4">
        <v>0</v>
      </c>
      <c r="G38" s="4">
        <f>_xlfn.XLOOKUP(B38,Total!B:B,Total!G:G)</f>
        <v>0</v>
      </c>
      <c r="H38" s="20">
        <f>_xlfn.XLOOKUP(B38,Total!B:B,Total!AY:AY)</f>
        <v>0</v>
      </c>
      <c r="I38" s="24">
        <f t="shared" si="0"/>
        <v>0</v>
      </c>
      <c r="J38" s="24">
        <f t="shared" si="1"/>
        <v>0</v>
      </c>
      <c r="K38" s="4">
        <f t="shared" si="2"/>
        <v>0</v>
      </c>
      <c r="L38" s="24"/>
      <c r="M38" s="32"/>
      <c r="N38" s="32"/>
      <c r="O38" s="20"/>
      <c r="P38" s="20"/>
      <c r="Q38" s="20"/>
      <c r="R38" s="20"/>
      <c r="S38" s="20"/>
      <c r="T38" s="20"/>
      <c r="U38" s="20"/>
      <c r="V38" s="20"/>
    </row>
    <row r="39" spans="1:22" x14ac:dyDescent="0.25">
      <c r="A39" s="5" t="s">
        <v>52</v>
      </c>
      <c r="B39" s="5" t="s">
        <v>72</v>
      </c>
      <c r="C39" s="5">
        <v>2867</v>
      </c>
      <c r="D39" s="5">
        <v>2490</v>
      </c>
      <c r="E39" s="5">
        <v>0</v>
      </c>
      <c r="F39" s="19">
        <v>0</v>
      </c>
      <c r="G39" s="19">
        <f>_xlfn.XLOOKUP(B39,Total!B:B,Total!G:G)</f>
        <v>0</v>
      </c>
      <c r="H39" s="19">
        <f>_xlfn.XLOOKUP(B39,Total!B:B,Total!AY:AY)</f>
        <v>0</v>
      </c>
      <c r="I39" s="14">
        <f t="shared" si="0"/>
        <v>0</v>
      </c>
      <c r="J39" s="14">
        <f t="shared" si="1"/>
        <v>0</v>
      </c>
      <c r="K39" s="5">
        <f t="shared" si="2"/>
        <v>0</v>
      </c>
      <c r="L39" s="14"/>
      <c r="M39" s="18"/>
      <c r="N39" s="18"/>
      <c r="O39" s="19"/>
      <c r="P39" s="19"/>
      <c r="Q39" s="19"/>
      <c r="R39" s="19"/>
      <c r="S39" s="19"/>
      <c r="T39" s="19"/>
      <c r="U39" s="19"/>
      <c r="V39" s="19"/>
    </row>
    <row r="40" spans="1:22" x14ac:dyDescent="0.25">
      <c r="A40" s="4" t="s">
        <v>52</v>
      </c>
      <c r="B40" s="4" t="s">
        <v>73</v>
      </c>
      <c r="C40" s="4">
        <v>2481</v>
      </c>
      <c r="D40" s="4">
        <v>2078</v>
      </c>
      <c r="E40" s="4">
        <v>0</v>
      </c>
      <c r="F40" s="4">
        <v>0</v>
      </c>
      <c r="G40" s="4">
        <f>_xlfn.XLOOKUP(B40,Total!B:B,Total!G:G)</f>
        <v>0</v>
      </c>
      <c r="H40" s="20">
        <f>_xlfn.XLOOKUP(B40,Total!B:B,Total!AY:AY)</f>
        <v>0</v>
      </c>
      <c r="I40" s="24">
        <f t="shared" si="0"/>
        <v>0</v>
      </c>
      <c r="J40" s="24">
        <f t="shared" si="1"/>
        <v>0</v>
      </c>
      <c r="K40" s="4">
        <f t="shared" si="2"/>
        <v>0</v>
      </c>
      <c r="L40" s="24"/>
      <c r="M40" s="32"/>
      <c r="N40" s="32"/>
      <c r="O40" s="20"/>
      <c r="P40" s="20"/>
      <c r="Q40" s="20"/>
      <c r="R40" s="20"/>
      <c r="S40" s="20"/>
      <c r="T40" s="20"/>
      <c r="U40" s="20"/>
      <c r="V40" s="20"/>
    </row>
    <row r="41" spans="1:22" ht="15.75" x14ac:dyDescent="0.25">
      <c r="A41" s="21"/>
      <c r="B41" s="21" t="s">
        <v>74</v>
      </c>
      <c r="C41" s="22">
        <f t="shared" ref="C41:F41" si="6">SUM(C3:C40)</f>
        <v>1602515</v>
      </c>
      <c r="D41" s="22">
        <f t="shared" si="6"/>
        <v>1252619</v>
      </c>
      <c r="E41" s="22">
        <f t="shared" si="6"/>
        <v>231116</v>
      </c>
      <c r="F41" s="22">
        <f t="shared" si="6"/>
        <v>240157</v>
      </c>
      <c r="G41" s="22">
        <f>SUM(G3:G40)</f>
        <v>243503</v>
      </c>
      <c r="H41" s="22">
        <f>SUM(H3:H40)</f>
        <v>256209</v>
      </c>
      <c r="I41" s="33">
        <f t="shared" si="0"/>
        <v>0.19439510337939947</v>
      </c>
      <c r="J41" s="33">
        <f t="shared" si="1"/>
        <v>0.20453865061922261</v>
      </c>
      <c r="K41" s="22">
        <f>SUM(K1:K40)</f>
        <v>12706</v>
      </c>
      <c r="L41" s="33">
        <f>(H41-G41)/G41</f>
        <v>5.2180055276526367E-2</v>
      </c>
      <c r="M41" s="34">
        <f>G41/E41</f>
        <v>1.0535964623825265</v>
      </c>
      <c r="N41" s="34">
        <f>H41/F41</f>
        <v>1.0668396090890542</v>
      </c>
      <c r="O41" s="22"/>
      <c r="P41" s="22"/>
      <c r="Q41" s="22"/>
      <c r="R41" s="22"/>
      <c r="S41" s="22"/>
      <c r="T41" s="22"/>
      <c r="U41" s="22"/>
      <c r="V41" s="22"/>
    </row>
  </sheetData>
  <conditionalFormatting sqref="I3:I41">
    <cfRule type="cellIs" dxfId="113" priority="9" operator="lessThan">
      <formula>$I$40</formula>
    </cfRule>
    <cfRule type="cellIs" dxfId="112" priority="11" operator="lessThan">
      <formula>0.18</formula>
    </cfRule>
  </conditionalFormatting>
  <conditionalFormatting sqref="J3:J40 K41">
    <cfRule type="cellIs" dxfId="111" priority="8" operator="lessThan">
      <formula>$J$40</formula>
    </cfRule>
    <cfRule type="cellIs" dxfId="110" priority="10" operator="lessThan">
      <formula>0.22</formula>
    </cfRule>
  </conditionalFormatting>
  <conditionalFormatting sqref="J41">
    <cfRule type="cellIs" dxfId="109" priority="5" operator="lessThan">
      <formula>$I$40</formula>
    </cfRule>
    <cfRule type="cellIs" dxfId="108" priority="6" operator="lessThan">
      <formula>0.18</formula>
    </cfRule>
  </conditionalFormatting>
  <conditionalFormatting sqref="L3:L41">
    <cfRule type="cellIs" dxfId="107" priority="7" operator="lessThan">
      <formula>$L$40</formula>
    </cfRule>
  </conditionalFormatting>
  <conditionalFormatting sqref="M3:M40">
    <cfRule type="cellIs" dxfId="106" priority="4" operator="lessThan">
      <formula>$M$41</formula>
    </cfRule>
  </conditionalFormatting>
  <conditionalFormatting sqref="N3:N40">
    <cfRule type="cellIs" dxfId="105" priority="3" operator="lessThan">
      <formula>$N$41</formula>
    </cfRule>
  </conditionalFormatting>
  <conditionalFormatting sqref="O41:V41">
    <cfRule type="cellIs" dxfId="104" priority="1" operator="lessThan">
      <formula>$J$40</formula>
    </cfRule>
    <cfRule type="cellIs" dxfId="103" priority="2" operator="lessThan">
      <formula>0.22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3E2A-60E0-4E13-B5C1-82892702CCB6}">
  <sheetPr>
    <tabColor rgb="FFFF0000"/>
  </sheetPr>
  <dimension ref="A1:AF52"/>
  <sheetViews>
    <sheetView showGridLines="0" zoomScale="85" zoomScaleNormal="85" workbookViewId="0">
      <pane xSplit="2" ySplit="2" topLeftCell="C3" activePane="bottomRight" state="frozen"/>
      <selection activeCell="K18" sqref="K18"/>
      <selection pane="topRight" activeCell="K18" sqref="K18"/>
      <selection pane="bottomLeft" activeCell="K18" sqref="K18"/>
      <selection pane="bottomRight" activeCell="K26" sqref="K26:K27"/>
    </sheetView>
  </sheetViews>
  <sheetFormatPr defaultRowHeight="15" x14ac:dyDescent="0.25"/>
  <cols>
    <col min="1" max="2" width="19.28515625" style="7" customWidth="1"/>
    <col min="3" max="4" width="12.140625" style="7" bestFit="1" customWidth="1"/>
    <col min="5" max="5" width="12.140625" style="7" customWidth="1"/>
    <col min="6" max="8" width="21.5703125" style="7" bestFit="1" customWidth="1"/>
    <col min="9" max="9" width="23.140625" style="7" hidden="1" customWidth="1"/>
    <col min="10" max="10" width="26.7109375" style="7" hidden="1" customWidth="1"/>
    <col min="11" max="11" width="26.7109375" style="42" customWidth="1"/>
    <col min="12" max="12" width="20.85546875" style="80" bestFit="1" customWidth="1"/>
    <col min="13" max="13" width="33.140625" style="7" bestFit="1" customWidth="1"/>
    <col min="14" max="14" width="33.85546875" style="7" bestFit="1" customWidth="1"/>
    <col min="15" max="32" width="15.140625" style="7" bestFit="1" customWidth="1"/>
  </cols>
  <sheetData>
    <row r="1" spans="1:32" ht="18.75" x14ac:dyDescent="0.3">
      <c r="A1" s="10"/>
      <c r="B1" s="10"/>
      <c r="C1" s="11"/>
      <c r="D1" s="11"/>
      <c r="E1" s="11"/>
      <c r="F1" s="64"/>
      <c r="G1" s="64">
        <v>2025</v>
      </c>
      <c r="H1" s="64">
        <v>2026</v>
      </c>
      <c r="I1" s="59" t="s">
        <v>79</v>
      </c>
      <c r="J1" s="59"/>
      <c r="K1" s="66"/>
      <c r="L1" s="7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8.7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98</v>
      </c>
      <c r="F2" s="3" t="s">
        <v>94</v>
      </c>
      <c r="G2" s="3" t="s">
        <v>75</v>
      </c>
      <c r="H2" s="3" t="s">
        <v>75</v>
      </c>
      <c r="I2" s="9" t="s">
        <v>86</v>
      </c>
      <c r="J2" s="9" t="s">
        <v>86</v>
      </c>
      <c r="K2" s="41" t="s">
        <v>97</v>
      </c>
      <c r="L2" s="79" t="s">
        <v>87</v>
      </c>
      <c r="M2" s="3" t="s">
        <v>101</v>
      </c>
      <c r="N2" s="3" t="s">
        <v>102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s="19" t="s">
        <v>56</v>
      </c>
      <c r="B3" s="19" t="s">
        <v>57</v>
      </c>
      <c r="C3" s="19">
        <v>7920</v>
      </c>
      <c r="D3" s="19">
        <v>6833</v>
      </c>
      <c r="E3" s="19">
        <v>9307</v>
      </c>
      <c r="F3" s="19">
        <v>9261</v>
      </c>
      <c r="G3" s="19">
        <f>_xlfn.XLOOKUP(B3,Total!B:B,Total!I:I)</f>
        <v>333</v>
      </c>
      <c r="H3" s="19">
        <f>_xlfn.XLOOKUP(B3,Total!B:B,Total!BA:BA)</f>
        <v>48</v>
      </c>
      <c r="I3" s="36">
        <f t="shared" ref="I3:I41" si="0">G3/D3</f>
        <v>4.8734084589492167E-2</v>
      </c>
      <c r="J3" s="36">
        <f t="shared" ref="J3:J41" si="1">H3/D3</f>
        <v>7.0247329138006728E-3</v>
      </c>
      <c r="K3" s="19">
        <f>H3-G3</f>
        <v>-285</v>
      </c>
      <c r="L3" s="75">
        <f t="shared" ref="L3:L25" si="2">(H3-G3)/G3</f>
        <v>-0.85585585585585588</v>
      </c>
      <c r="M3" s="75">
        <f t="shared" ref="M3:M31" si="3">G3/E3</f>
        <v>3.577952079080262E-2</v>
      </c>
      <c r="N3" s="75">
        <f t="shared" ref="N3:N31" si="4">H3/F3</f>
        <v>5.1830255911888565E-3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 spans="1:32" x14ac:dyDescent="0.25">
      <c r="A4" s="20" t="s">
        <v>60</v>
      </c>
      <c r="B4" s="20" t="s">
        <v>61</v>
      </c>
      <c r="C4" s="20">
        <v>8533</v>
      </c>
      <c r="D4" s="20">
        <v>6447</v>
      </c>
      <c r="E4" s="20">
        <v>3155</v>
      </c>
      <c r="F4" s="20">
        <v>3424</v>
      </c>
      <c r="G4" s="20">
        <f>_xlfn.XLOOKUP(B4,Total!B:B,Total!I:I)</f>
        <v>143</v>
      </c>
      <c r="H4" s="20">
        <f>_xlfn.XLOOKUP(B4,Total!B:B,Total!BA:BA)</f>
        <v>49</v>
      </c>
      <c r="I4" s="37">
        <f t="shared" si="0"/>
        <v>2.2180859314409804E-2</v>
      </c>
      <c r="J4" s="37">
        <f t="shared" si="1"/>
        <v>7.6004343105320303E-3</v>
      </c>
      <c r="K4" s="20">
        <f t="shared" ref="K4:K40" si="5">H4-G4</f>
        <v>-94</v>
      </c>
      <c r="L4" s="76">
        <f t="shared" si="2"/>
        <v>-0.65734265734265729</v>
      </c>
      <c r="M4" s="76">
        <f t="shared" si="3"/>
        <v>4.5324881141045957E-2</v>
      </c>
      <c r="N4" s="76">
        <f t="shared" si="4"/>
        <v>1.4310747663551402E-2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x14ac:dyDescent="0.25">
      <c r="A5" s="19" t="s">
        <v>62</v>
      </c>
      <c r="B5" s="19" t="s">
        <v>63</v>
      </c>
      <c r="C5" s="19">
        <v>10771</v>
      </c>
      <c r="D5" s="19">
        <v>9026</v>
      </c>
      <c r="E5" s="19">
        <v>2881</v>
      </c>
      <c r="F5" s="19">
        <v>2976</v>
      </c>
      <c r="G5" s="19">
        <f>_xlfn.XLOOKUP(B5,Total!B:B,Total!I:I)</f>
        <v>54</v>
      </c>
      <c r="H5" s="19">
        <f>_xlfn.XLOOKUP(B5,Total!B:B,Total!BA:BA)</f>
        <v>31</v>
      </c>
      <c r="I5" s="36">
        <f t="shared" si="0"/>
        <v>5.9827165964990029E-3</v>
      </c>
      <c r="J5" s="36">
        <f t="shared" si="1"/>
        <v>3.4345224905827608E-3</v>
      </c>
      <c r="K5" s="19">
        <f t="shared" si="5"/>
        <v>-23</v>
      </c>
      <c r="L5" s="75">
        <f t="shared" si="2"/>
        <v>-0.42592592592592593</v>
      </c>
      <c r="M5" s="75">
        <f t="shared" si="3"/>
        <v>1.8743491843110031E-2</v>
      </c>
      <c r="N5" s="75">
        <f t="shared" si="4"/>
        <v>1.0416666666666666E-2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</row>
    <row r="6" spans="1:32" x14ac:dyDescent="0.25">
      <c r="A6" s="20" t="s">
        <v>48</v>
      </c>
      <c r="B6" s="20" t="s">
        <v>49</v>
      </c>
      <c r="C6" s="20">
        <v>27775</v>
      </c>
      <c r="D6" s="20">
        <v>22138</v>
      </c>
      <c r="E6" s="20">
        <v>7374</v>
      </c>
      <c r="F6" s="20">
        <v>7529</v>
      </c>
      <c r="G6" s="20">
        <f>_xlfn.XLOOKUP(B6,Total!B:B,Total!I:I)</f>
        <v>437</v>
      </c>
      <c r="H6" s="20">
        <f>_xlfn.XLOOKUP(B6,Total!B:B,Total!BA:BA)</f>
        <v>375</v>
      </c>
      <c r="I6" s="37">
        <f t="shared" si="0"/>
        <v>1.9739813894660764E-2</v>
      </c>
      <c r="J6" s="37">
        <f t="shared" si="1"/>
        <v>1.6939199566356491E-2</v>
      </c>
      <c r="K6" s="20">
        <f t="shared" si="5"/>
        <v>-62</v>
      </c>
      <c r="L6" s="76">
        <f t="shared" si="2"/>
        <v>-0.14187643020594964</v>
      </c>
      <c r="M6" s="76">
        <f t="shared" si="3"/>
        <v>5.9262272850556005E-2</v>
      </c>
      <c r="N6" s="76">
        <f t="shared" si="4"/>
        <v>4.9807411342807813E-2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7" spans="1:32" x14ac:dyDescent="0.25">
      <c r="A7" s="19" t="s">
        <v>6</v>
      </c>
      <c r="B7" s="19" t="s">
        <v>7</v>
      </c>
      <c r="C7" s="19">
        <v>227466</v>
      </c>
      <c r="D7" s="19">
        <v>177302</v>
      </c>
      <c r="E7" s="19">
        <v>45420</v>
      </c>
      <c r="F7" s="19">
        <v>47635</v>
      </c>
      <c r="G7" s="19">
        <f>_xlfn.XLOOKUP(B7,Total!B:B,Total!I:I)</f>
        <v>4391</v>
      </c>
      <c r="H7" s="19">
        <f>_xlfn.XLOOKUP(B7,Total!B:B,Total!BA:BA)</f>
        <v>2444</v>
      </c>
      <c r="I7" s="36">
        <f t="shared" si="0"/>
        <v>2.4765654081736248E-2</v>
      </c>
      <c r="J7" s="36">
        <f t="shared" si="1"/>
        <v>1.3784390475008743E-2</v>
      </c>
      <c r="K7" s="19">
        <f t="shared" si="5"/>
        <v>-1947</v>
      </c>
      <c r="L7" s="75">
        <f t="shared" si="2"/>
        <v>-0.44340696879981784</v>
      </c>
      <c r="M7" s="75">
        <f t="shared" si="3"/>
        <v>9.6675473359753419E-2</v>
      </c>
      <c r="N7" s="75">
        <f t="shared" si="4"/>
        <v>5.1306812217906998E-2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spans="1:32" x14ac:dyDescent="0.25">
      <c r="A8" s="20" t="s">
        <v>50</v>
      </c>
      <c r="B8" s="20" t="s">
        <v>51</v>
      </c>
      <c r="C8" s="20">
        <v>27716</v>
      </c>
      <c r="D8" s="20">
        <v>21269</v>
      </c>
      <c r="E8" s="20">
        <v>5730</v>
      </c>
      <c r="F8" s="20">
        <v>5947</v>
      </c>
      <c r="G8" s="20">
        <f>_xlfn.XLOOKUP(B8,Total!B:B,Total!I:I)</f>
        <v>261</v>
      </c>
      <c r="H8" s="20">
        <f>_xlfn.XLOOKUP(B8,Total!B:B,Total!BA:BA)</f>
        <v>88</v>
      </c>
      <c r="I8" s="37">
        <f t="shared" si="0"/>
        <v>1.2271380882975223E-2</v>
      </c>
      <c r="J8" s="37">
        <f t="shared" si="1"/>
        <v>4.1374770793173163E-3</v>
      </c>
      <c r="K8" s="20">
        <f t="shared" si="5"/>
        <v>-173</v>
      </c>
      <c r="L8" s="76">
        <f t="shared" si="2"/>
        <v>-0.66283524904214564</v>
      </c>
      <c r="M8" s="76">
        <f t="shared" si="3"/>
        <v>4.5549738219895289E-2</v>
      </c>
      <c r="N8" s="76">
        <f t="shared" si="4"/>
        <v>1.4797376828653102E-2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2" x14ac:dyDescent="0.25">
      <c r="A9" s="19" t="s">
        <v>22</v>
      </c>
      <c r="B9" s="19" t="s">
        <v>23</v>
      </c>
      <c r="C9" s="19">
        <v>48079</v>
      </c>
      <c r="D9" s="19">
        <v>36276</v>
      </c>
      <c r="E9" s="19">
        <v>8493</v>
      </c>
      <c r="F9" s="19">
        <v>8808</v>
      </c>
      <c r="G9" s="19">
        <f>_xlfn.XLOOKUP(B9,Total!B:B,Total!I:I)</f>
        <v>495</v>
      </c>
      <c r="H9" s="19">
        <f>_xlfn.XLOOKUP(B9,Total!B:B,Total!BA:BA)</f>
        <v>305</v>
      </c>
      <c r="I9" s="36">
        <f t="shared" si="0"/>
        <v>1.3645385378762819E-2</v>
      </c>
      <c r="J9" s="36">
        <f t="shared" si="1"/>
        <v>8.4077627081265843E-3</v>
      </c>
      <c r="K9" s="19">
        <f t="shared" si="5"/>
        <v>-190</v>
      </c>
      <c r="L9" s="75">
        <f t="shared" si="2"/>
        <v>-0.38383838383838381</v>
      </c>
      <c r="M9" s="75">
        <f t="shared" si="3"/>
        <v>5.8283292122924761E-2</v>
      </c>
      <c r="N9" s="75">
        <f t="shared" si="4"/>
        <v>3.4627611262488645E-2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</row>
    <row r="10" spans="1:32" x14ac:dyDescent="0.25">
      <c r="A10" s="20" t="s">
        <v>30</v>
      </c>
      <c r="B10" s="20" t="s">
        <v>31</v>
      </c>
      <c r="C10" s="20">
        <v>18486</v>
      </c>
      <c r="D10" s="20">
        <v>14806</v>
      </c>
      <c r="E10" s="20">
        <v>3610</v>
      </c>
      <c r="F10" s="20">
        <v>3691</v>
      </c>
      <c r="G10" s="20">
        <f>_xlfn.XLOOKUP(B10,Total!B:B,Total!I:I)</f>
        <v>97</v>
      </c>
      <c r="H10" s="20">
        <f>_xlfn.XLOOKUP(B10,Total!B:B,Total!BA:BA)</f>
        <v>42</v>
      </c>
      <c r="I10" s="37">
        <f t="shared" si="0"/>
        <v>6.5513980818587055E-3</v>
      </c>
      <c r="J10" s="37">
        <f t="shared" si="1"/>
        <v>2.836687829258409E-3</v>
      </c>
      <c r="K10" s="20">
        <f t="shared" si="5"/>
        <v>-55</v>
      </c>
      <c r="L10" s="76">
        <f t="shared" si="2"/>
        <v>-0.5670103092783505</v>
      </c>
      <c r="M10" s="76">
        <f t="shared" si="3"/>
        <v>2.6869806094182824E-2</v>
      </c>
      <c r="N10" s="76">
        <f t="shared" si="4"/>
        <v>1.1379030073150907E-2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1:32" x14ac:dyDescent="0.25">
      <c r="A11" s="19" t="s">
        <v>18</v>
      </c>
      <c r="B11" s="19" t="s">
        <v>19</v>
      </c>
      <c r="C11" s="19">
        <v>64742</v>
      </c>
      <c r="D11" s="19">
        <v>50171</v>
      </c>
      <c r="E11" s="19">
        <v>11839</v>
      </c>
      <c r="F11" s="19">
        <v>11901</v>
      </c>
      <c r="G11" s="19">
        <f>_xlfn.XLOOKUP(B11,Total!B:B,Total!I:I)</f>
        <v>954</v>
      </c>
      <c r="H11" s="19">
        <f>_xlfn.XLOOKUP(B11,Total!B:B,Total!BA:BA)</f>
        <v>417</v>
      </c>
      <c r="I11" s="36">
        <f t="shared" si="0"/>
        <v>1.9014968806681149E-2</v>
      </c>
      <c r="J11" s="36">
        <f t="shared" si="1"/>
        <v>8.3115744154989932E-3</v>
      </c>
      <c r="K11" s="19">
        <f t="shared" si="5"/>
        <v>-537</v>
      </c>
      <c r="L11" s="75">
        <f t="shared" si="2"/>
        <v>-0.56289308176100628</v>
      </c>
      <c r="M11" s="75">
        <f t="shared" si="3"/>
        <v>8.0581130163020528E-2</v>
      </c>
      <c r="N11" s="75">
        <f t="shared" si="4"/>
        <v>3.5039072346861606E-2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 spans="1:32" x14ac:dyDescent="0.25">
      <c r="A12" s="20" t="s">
        <v>46</v>
      </c>
      <c r="B12" s="20" t="s">
        <v>47</v>
      </c>
      <c r="C12" s="20">
        <v>22815</v>
      </c>
      <c r="D12" s="20">
        <v>17367</v>
      </c>
      <c r="E12" s="20">
        <v>3945</v>
      </c>
      <c r="F12" s="20">
        <v>4126</v>
      </c>
      <c r="G12" s="20">
        <f>_xlfn.XLOOKUP(B12,Total!B:B,Total!I:I)</f>
        <v>254</v>
      </c>
      <c r="H12" s="20">
        <f>_xlfn.XLOOKUP(B12,Total!B:B,Total!BA:BA)</f>
        <v>74</v>
      </c>
      <c r="I12" s="37">
        <f t="shared" si="0"/>
        <v>1.4625439051073877E-2</v>
      </c>
      <c r="J12" s="37">
        <f t="shared" si="1"/>
        <v>4.2609546841711294E-3</v>
      </c>
      <c r="K12" s="20">
        <f t="shared" si="5"/>
        <v>-180</v>
      </c>
      <c r="L12" s="76">
        <f t="shared" si="2"/>
        <v>-0.70866141732283461</v>
      </c>
      <c r="M12" s="76">
        <f t="shared" si="3"/>
        <v>6.438529784537389E-2</v>
      </c>
      <c r="N12" s="76">
        <f t="shared" si="4"/>
        <v>1.7935046049442561E-2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</row>
    <row r="13" spans="1:32" x14ac:dyDescent="0.25">
      <c r="A13" s="19" t="s">
        <v>12</v>
      </c>
      <c r="B13" s="19" t="s">
        <v>13</v>
      </c>
      <c r="C13" s="19">
        <v>82745</v>
      </c>
      <c r="D13" s="19">
        <v>65980</v>
      </c>
      <c r="E13" s="19">
        <v>14551</v>
      </c>
      <c r="F13" s="19">
        <v>15027</v>
      </c>
      <c r="G13" s="19">
        <f>_xlfn.XLOOKUP(B13,Total!B:B,Total!I:I)</f>
        <v>1100</v>
      </c>
      <c r="H13" s="19">
        <f>_xlfn.XLOOKUP(B13,Total!B:B,Total!BA:BA)</f>
        <v>524</v>
      </c>
      <c r="I13" s="36">
        <f t="shared" si="0"/>
        <v>1.6671718702637162E-2</v>
      </c>
      <c r="J13" s="36">
        <f t="shared" si="1"/>
        <v>7.9418005456198849E-3</v>
      </c>
      <c r="K13" s="19">
        <f t="shared" si="5"/>
        <v>-576</v>
      </c>
      <c r="L13" s="75">
        <f t="shared" si="2"/>
        <v>-0.52363636363636368</v>
      </c>
      <c r="M13" s="75">
        <f t="shared" si="3"/>
        <v>7.559617895677273E-2</v>
      </c>
      <c r="N13" s="75">
        <f t="shared" si="4"/>
        <v>3.487056631396819E-2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 spans="1:32" x14ac:dyDescent="0.25">
      <c r="A14" s="20" t="s">
        <v>24</v>
      </c>
      <c r="B14" s="20" t="s">
        <v>25</v>
      </c>
      <c r="C14" s="20">
        <v>70975</v>
      </c>
      <c r="D14" s="20">
        <v>54812</v>
      </c>
      <c r="E14" s="20">
        <v>10092</v>
      </c>
      <c r="F14" s="20">
        <v>10670</v>
      </c>
      <c r="G14" s="20">
        <f>_xlfn.XLOOKUP(B14,Total!B:B,Total!I:I)</f>
        <v>485</v>
      </c>
      <c r="H14" s="20">
        <f>_xlfn.XLOOKUP(B14,Total!B:B,Total!BA:BA)</f>
        <v>377</v>
      </c>
      <c r="I14" s="37">
        <f t="shared" si="0"/>
        <v>8.848427351674815E-3</v>
      </c>
      <c r="J14" s="37">
        <f t="shared" si="1"/>
        <v>6.8780559001678466E-3</v>
      </c>
      <c r="K14" s="20">
        <f t="shared" si="5"/>
        <v>-108</v>
      </c>
      <c r="L14" s="76">
        <f t="shared" si="2"/>
        <v>-0.22268041237113403</v>
      </c>
      <c r="M14" s="76">
        <f t="shared" si="3"/>
        <v>4.8057867617915181E-2</v>
      </c>
      <c r="N14" s="76">
        <f t="shared" si="4"/>
        <v>3.5332708528584819E-2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</row>
    <row r="15" spans="1:32" x14ac:dyDescent="0.25">
      <c r="A15" s="19" t="s">
        <v>36</v>
      </c>
      <c r="B15" s="19" t="s">
        <v>37</v>
      </c>
      <c r="C15" s="19">
        <v>33008</v>
      </c>
      <c r="D15" s="19">
        <v>26385</v>
      </c>
      <c r="E15" s="19">
        <v>4844</v>
      </c>
      <c r="F15" s="19">
        <v>5105</v>
      </c>
      <c r="G15" s="19">
        <f>_xlfn.XLOOKUP(B15,Total!B:B,Total!I:I)</f>
        <v>241</v>
      </c>
      <c r="H15" s="19">
        <f>_xlfn.XLOOKUP(B15,Total!B:B,Total!BA:BA)</f>
        <v>151</v>
      </c>
      <c r="I15" s="36">
        <f t="shared" si="0"/>
        <v>9.13397763880993E-3</v>
      </c>
      <c r="J15" s="36">
        <f t="shared" si="1"/>
        <v>5.7229486450634829E-3</v>
      </c>
      <c r="K15" s="19">
        <f t="shared" si="5"/>
        <v>-90</v>
      </c>
      <c r="L15" s="75">
        <f t="shared" si="2"/>
        <v>-0.37344398340248963</v>
      </c>
      <c r="M15" s="75">
        <f t="shared" si="3"/>
        <v>4.9752270850536746E-2</v>
      </c>
      <c r="N15" s="75">
        <f t="shared" si="4"/>
        <v>2.9578844270323212E-2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</row>
    <row r="16" spans="1:32" x14ac:dyDescent="0.25">
      <c r="A16" s="20" t="s">
        <v>38</v>
      </c>
      <c r="B16" s="20" t="s">
        <v>39</v>
      </c>
      <c r="C16" s="20">
        <v>40664</v>
      </c>
      <c r="D16" s="20">
        <v>31671</v>
      </c>
      <c r="E16" s="20">
        <v>5790</v>
      </c>
      <c r="F16" s="20">
        <v>6091</v>
      </c>
      <c r="G16" s="20">
        <f>_xlfn.XLOOKUP(B16,Total!B:B,Total!I:I)</f>
        <v>204</v>
      </c>
      <c r="H16" s="20">
        <f>_xlfn.XLOOKUP(B16,Total!B:B,Total!BA:BA)</f>
        <v>98</v>
      </c>
      <c r="I16" s="37">
        <f t="shared" si="0"/>
        <v>6.4412238325281803E-3</v>
      </c>
      <c r="J16" s="37">
        <f t="shared" si="1"/>
        <v>3.0943134097439298E-3</v>
      </c>
      <c r="K16" s="20">
        <f t="shared" si="5"/>
        <v>-106</v>
      </c>
      <c r="L16" s="76">
        <f t="shared" si="2"/>
        <v>-0.51960784313725494</v>
      </c>
      <c r="M16" s="76">
        <f t="shared" si="3"/>
        <v>3.5233160621761656E-2</v>
      </c>
      <c r="N16" s="76">
        <f t="shared" si="4"/>
        <v>1.6089312099819404E-2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spans="1:32" x14ac:dyDescent="0.25">
      <c r="A17" s="19" t="s">
        <v>40</v>
      </c>
      <c r="B17" s="19" t="s">
        <v>41</v>
      </c>
      <c r="C17" s="19">
        <v>35566</v>
      </c>
      <c r="D17" s="19">
        <v>27813</v>
      </c>
      <c r="E17" s="19">
        <v>4960</v>
      </c>
      <c r="F17" s="19">
        <v>5153</v>
      </c>
      <c r="G17" s="19">
        <f>_xlfn.XLOOKUP(B17,Total!B:B,Total!I:I)</f>
        <v>255</v>
      </c>
      <c r="H17" s="19">
        <f>_xlfn.XLOOKUP(B17,Total!B:B,Total!BA:BA)</f>
        <v>177</v>
      </c>
      <c r="I17" s="36">
        <f t="shared" si="0"/>
        <v>9.1683745011325642E-3</v>
      </c>
      <c r="J17" s="36">
        <f t="shared" si="1"/>
        <v>6.3639305360802499E-3</v>
      </c>
      <c r="K17" s="19">
        <f t="shared" si="5"/>
        <v>-78</v>
      </c>
      <c r="L17" s="75">
        <f t="shared" si="2"/>
        <v>-0.30588235294117649</v>
      </c>
      <c r="M17" s="75">
        <f t="shared" si="3"/>
        <v>5.1411290322580648E-2</v>
      </c>
      <c r="N17" s="75">
        <f t="shared" si="4"/>
        <v>3.4348922957500486E-2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</row>
    <row r="18" spans="1:32" x14ac:dyDescent="0.25">
      <c r="A18" s="20" t="s">
        <v>42</v>
      </c>
      <c r="B18" s="20" t="s">
        <v>43</v>
      </c>
      <c r="C18" s="20">
        <v>30503</v>
      </c>
      <c r="D18" s="20">
        <v>23708</v>
      </c>
      <c r="E18" s="20">
        <v>4235</v>
      </c>
      <c r="F18" s="20">
        <v>4322</v>
      </c>
      <c r="G18" s="20">
        <f>_xlfn.XLOOKUP(B18,Total!B:B,Total!I:I)</f>
        <v>230</v>
      </c>
      <c r="H18" s="20">
        <f>_xlfn.XLOOKUP(B18,Total!B:B,Total!BA:BA)</f>
        <v>170</v>
      </c>
      <c r="I18" s="37">
        <f t="shared" si="0"/>
        <v>9.7013666272988026E-3</v>
      </c>
      <c r="J18" s="37">
        <f t="shared" si="1"/>
        <v>7.1705753332208539E-3</v>
      </c>
      <c r="K18" s="20">
        <f t="shared" si="5"/>
        <v>-60</v>
      </c>
      <c r="L18" s="76">
        <f t="shared" si="2"/>
        <v>-0.2608695652173913</v>
      </c>
      <c r="M18" s="76">
        <f t="shared" si="3"/>
        <v>5.4309327036599762E-2</v>
      </c>
      <c r="N18" s="76">
        <f t="shared" si="4"/>
        <v>3.9333641832484958E-2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 spans="1:32" x14ac:dyDescent="0.25">
      <c r="A19" s="19" t="s">
        <v>28</v>
      </c>
      <c r="B19" s="19" t="s">
        <v>29</v>
      </c>
      <c r="C19" s="19">
        <v>82980</v>
      </c>
      <c r="D19" s="19">
        <v>66517</v>
      </c>
      <c r="E19" s="19">
        <v>11191</v>
      </c>
      <c r="F19" s="19">
        <v>11535</v>
      </c>
      <c r="G19" s="19">
        <f>_xlfn.XLOOKUP(B19,Total!B:B,Total!I:I)</f>
        <v>620</v>
      </c>
      <c r="H19" s="19">
        <f>_xlfn.XLOOKUP(B19,Total!B:B,Total!BA:BA)</f>
        <v>377</v>
      </c>
      <c r="I19" s="36">
        <f t="shared" si="0"/>
        <v>9.320925477697431E-3</v>
      </c>
      <c r="J19" s="36">
        <f t="shared" si="1"/>
        <v>5.6677240404708574E-3</v>
      </c>
      <c r="K19" s="19">
        <f t="shared" si="5"/>
        <v>-243</v>
      </c>
      <c r="L19" s="75">
        <f t="shared" si="2"/>
        <v>-0.39193548387096772</v>
      </c>
      <c r="M19" s="75">
        <f t="shared" si="3"/>
        <v>5.5401662049861494E-2</v>
      </c>
      <c r="N19" s="75">
        <f t="shared" si="4"/>
        <v>3.2683138274815775E-2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spans="1:32" x14ac:dyDescent="0.25">
      <c r="A20" s="20" t="s">
        <v>54</v>
      </c>
      <c r="B20" s="20" t="s">
        <v>55</v>
      </c>
      <c r="C20" s="20">
        <v>22868</v>
      </c>
      <c r="D20" s="20">
        <v>19137</v>
      </c>
      <c r="E20" s="20">
        <v>3058</v>
      </c>
      <c r="F20" s="20">
        <v>3239</v>
      </c>
      <c r="G20" s="20">
        <f>_xlfn.XLOOKUP(B20,Total!B:B,Total!I:I)</f>
        <v>154</v>
      </c>
      <c r="H20" s="20">
        <f>_xlfn.XLOOKUP(B20,Total!B:B,Total!BA:BA)</f>
        <v>96</v>
      </c>
      <c r="I20" s="37">
        <f t="shared" si="0"/>
        <v>8.0472383341171558E-3</v>
      </c>
      <c r="J20" s="37">
        <f t="shared" si="1"/>
        <v>5.0164602602288761E-3</v>
      </c>
      <c r="K20" s="20">
        <f t="shared" si="5"/>
        <v>-58</v>
      </c>
      <c r="L20" s="76">
        <f t="shared" si="2"/>
        <v>-0.37662337662337664</v>
      </c>
      <c r="M20" s="76">
        <f t="shared" si="3"/>
        <v>5.0359712230215826E-2</v>
      </c>
      <c r="N20" s="76">
        <f t="shared" si="4"/>
        <v>2.9638777400432231E-2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  <row r="21" spans="1:32" x14ac:dyDescent="0.25">
      <c r="A21" s="19" t="s">
        <v>44</v>
      </c>
      <c r="B21" s="19" t="s">
        <v>45</v>
      </c>
      <c r="C21" s="19">
        <v>41799</v>
      </c>
      <c r="D21" s="19">
        <v>32724</v>
      </c>
      <c r="E21" s="19">
        <v>5358</v>
      </c>
      <c r="F21" s="19">
        <v>5514</v>
      </c>
      <c r="G21" s="19">
        <f>_xlfn.XLOOKUP(B21,Total!B:B,Total!I:I)</f>
        <v>190</v>
      </c>
      <c r="H21" s="19">
        <f>_xlfn.XLOOKUP(B21,Total!B:B,Total!BA:BA)</f>
        <v>136</v>
      </c>
      <c r="I21" s="36">
        <f t="shared" si="0"/>
        <v>5.8061361691724728E-3</v>
      </c>
      <c r="J21" s="36">
        <f t="shared" si="1"/>
        <v>4.1559711526708227E-3</v>
      </c>
      <c r="K21" s="19">
        <f t="shared" si="5"/>
        <v>-54</v>
      </c>
      <c r="L21" s="75">
        <f t="shared" si="2"/>
        <v>-0.28421052631578947</v>
      </c>
      <c r="M21" s="75">
        <f t="shared" si="3"/>
        <v>3.5460992907801421E-2</v>
      </c>
      <c r="N21" s="75">
        <f t="shared" si="4"/>
        <v>2.4664490388103012E-2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</row>
    <row r="22" spans="1:32" x14ac:dyDescent="0.25">
      <c r="A22" s="20" t="s">
        <v>32</v>
      </c>
      <c r="B22" s="20" t="s">
        <v>33</v>
      </c>
      <c r="C22" s="20">
        <v>45749</v>
      </c>
      <c r="D22" s="20">
        <v>36111</v>
      </c>
      <c r="E22" s="20">
        <v>5637</v>
      </c>
      <c r="F22" s="20">
        <v>5922</v>
      </c>
      <c r="G22" s="20">
        <f>_xlfn.XLOOKUP(B22,Total!B:B,Total!I:I)</f>
        <v>264</v>
      </c>
      <c r="H22" s="20">
        <f>_xlfn.XLOOKUP(B22,Total!B:B,Total!BA:BA)</f>
        <v>175</v>
      </c>
      <c r="I22" s="37">
        <f t="shared" si="0"/>
        <v>7.3107917255130018E-3</v>
      </c>
      <c r="J22" s="37">
        <f t="shared" si="1"/>
        <v>4.8461687574423307E-3</v>
      </c>
      <c r="K22" s="20">
        <f t="shared" si="5"/>
        <v>-89</v>
      </c>
      <c r="L22" s="76">
        <f t="shared" si="2"/>
        <v>-0.3371212121212121</v>
      </c>
      <c r="M22" s="76">
        <f t="shared" si="3"/>
        <v>4.6833422032996272E-2</v>
      </c>
      <c r="N22" s="76">
        <f t="shared" si="4"/>
        <v>2.955082742316785E-2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</row>
    <row r="23" spans="1:32" x14ac:dyDescent="0.25">
      <c r="A23" s="19" t="s">
        <v>10</v>
      </c>
      <c r="B23" s="19" t="s">
        <v>11</v>
      </c>
      <c r="C23" s="19">
        <v>109255</v>
      </c>
      <c r="D23" s="19">
        <v>84228</v>
      </c>
      <c r="E23" s="19">
        <v>13031</v>
      </c>
      <c r="F23" s="19">
        <v>13576</v>
      </c>
      <c r="G23" s="19">
        <f>_xlfn.XLOOKUP(B23,Total!B:B,Total!I:I)</f>
        <v>655</v>
      </c>
      <c r="H23" s="19">
        <f>_xlfn.XLOOKUP(B23,Total!B:B,Total!BA:BA)</f>
        <v>331</v>
      </c>
      <c r="I23" s="36">
        <f t="shared" si="0"/>
        <v>7.776511373889918E-3</v>
      </c>
      <c r="J23" s="36">
        <f t="shared" si="1"/>
        <v>3.9298095645153627E-3</v>
      </c>
      <c r="K23" s="19">
        <f t="shared" si="5"/>
        <v>-324</v>
      </c>
      <c r="L23" s="75">
        <f t="shared" si="2"/>
        <v>-0.4946564885496183</v>
      </c>
      <c r="M23" s="75">
        <f t="shared" si="3"/>
        <v>5.026475328063848E-2</v>
      </c>
      <c r="N23" s="75">
        <f t="shared" si="4"/>
        <v>2.4381261048909839E-2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</row>
    <row r="24" spans="1:32" x14ac:dyDescent="0.25">
      <c r="A24" s="20" t="s">
        <v>26</v>
      </c>
      <c r="B24" s="20" t="s">
        <v>27</v>
      </c>
      <c r="C24" s="20">
        <v>55044</v>
      </c>
      <c r="D24" s="20">
        <v>41804</v>
      </c>
      <c r="E24" s="20">
        <v>5716</v>
      </c>
      <c r="F24" s="20">
        <v>5950</v>
      </c>
      <c r="G24" s="20">
        <f>_xlfn.XLOOKUP(B24,Total!B:B,Total!I:I)</f>
        <v>247</v>
      </c>
      <c r="H24" s="20">
        <f>_xlfn.XLOOKUP(B24,Total!B:B,Total!BA:BA)</f>
        <v>115</v>
      </c>
      <c r="I24" s="37">
        <f t="shared" si="0"/>
        <v>5.9085254999521573E-3</v>
      </c>
      <c r="J24" s="37">
        <f t="shared" si="1"/>
        <v>2.7509329250789399E-3</v>
      </c>
      <c r="K24" s="20">
        <f t="shared" si="5"/>
        <v>-132</v>
      </c>
      <c r="L24" s="76">
        <f t="shared" si="2"/>
        <v>-0.53441295546558709</v>
      </c>
      <c r="M24" s="76">
        <f t="shared" si="3"/>
        <v>4.3212036389083275E-2</v>
      </c>
      <c r="N24" s="76">
        <f t="shared" si="4"/>
        <v>1.9327731092436976E-2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 spans="1:32" x14ac:dyDescent="0.25">
      <c r="A25" s="19" t="s">
        <v>8</v>
      </c>
      <c r="B25" s="19" t="s">
        <v>9</v>
      </c>
      <c r="C25" s="19">
        <v>147246</v>
      </c>
      <c r="D25" s="19">
        <v>115421</v>
      </c>
      <c r="E25" s="19">
        <v>15388</v>
      </c>
      <c r="F25" s="19">
        <v>16152</v>
      </c>
      <c r="G25" s="19">
        <f>_xlfn.XLOOKUP(B25,Total!B:B,Total!I:I)</f>
        <v>1273</v>
      </c>
      <c r="H25" s="19">
        <f>_xlfn.XLOOKUP(B25,Total!B:B,Total!BA:BA)</f>
        <v>811</v>
      </c>
      <c r="I25" s="36">
        <f t="shared" si="0"/>
        <v>1.1029188795799725E-2</v>
      </c>
      <c r="J25" s="36">
        <f t="shared" si="1"/>
        <v>7.026450992453713E-3</v>
      </c>
      <c r="K25" s="19">
        <f t="shared" si="5"/>
        <v>-462</v>
      </c>
      <c r="L25" s="75">
        <f t="shared" si="2"/>
        <v>-0.36292223095051063</v>
      </c>
      <c r="M25" s="75">
        <f t="shared" si="3"/>
        <v>8.2726800103977122E-2</v>
      </c>
      <c r="N25" s="75">
        <f t="shared" si="4"/>
        <v>5.0210500247647352E-2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spans="1:32" x14ac:dyDescent="0.25">
      <c r="A26" s="20" t="s">
        <v>16</v>
      </c>
      <c r="B26" s="20" t="s">
        <v>17</v>
      </c>
      <c r="C26" s="20">
        <v>78699</v>
      </c>
      <c r="D26" s="20">
        <v>62970</v>
      </c>
      <c r="E26" s="20">
        <v>8802</v>
      </c>
      <c r="F26" s="20">
        <v>8812</v>
      </c>
      <c r="G26" s="20">
        <f>_xlfn.XLOOKUP(B26,Total!B:B,Total!I:I)</f>
        <v>1085</v>
      </c>
      <c r="H26" s="20">
        <f>_xlfn.XLOOKUP(B26,Total!B:B,Total!BA:BA)</f>
        <v>886</v>
      </c>
      <c r="I26" s="37">
        <f t="shared" si="0"/>
        <v>1.7230427187549628E-2</v>
      </c>
      <c r="J26" s="37">
        <f t="shared" si="1"/>
        <v>1.4070192154994441E-2</v>
      </c>
      <c r="K26" s="20">
        <f t="shared" si="5"/>
        <v>-199</v>
      </c>
      <c r="L26" s="76"/>
      <c r="M26" s="76">
        <f t="shared" si="3"/>
        <v>0.12326743921835946</v>
      </c>
      <c r="N26" s="76">
        <f t="shared" si="4"/>
        <v>0.10054471175669541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 spans="1:32" x14ac:dyDescent="0.25">
      <c r="A27" s="19" t="s">
        <v>20</v>
      </c>
      <c r="B27" s="19" t="s">
        <v>21</v>
      </c>
      <c r="C27" s="19">
        <v>61528</v>
      </c>
      <c r="D27" s="19">
        <v>47591</v>
      </c>
      <c r="E27" s="19">
        <v>6269</v>
      </c>
      <c r="F27" s="19">
        <v>6504</v>
      </c>
      <c r="G27" s="19">
        <f>_xlfn.XLOOKUP(B27,Total!B:B,Total!I:I)</f>
        <v>348</v>
      </c>
      <c r="H27" s="19">
        <f>_xlfn.XLOOKUP(B27,Total!B:B,Total!BA:BA)</f>
        <v>118</v>
      </c>
      <c r="I27" s="36">
        <f t="shared" si="0"/>
        <v>7.3123069487928388E-3</v>
      </c>
      <c r="J27" s="36">
        <f t="shared" si="1"/>
        <v>2.4794604021768822E-3</v>
      </c>
      <c r="K27" s="19">
        <f t="shared" si="5"/>
        <v>-230</v>
      </c>
      <c r="L27" s="75">
        <f>(H27-G27)/G27</f>
        <v>-0.66091954022988508</v>
      </c>
      <c r="M27" s="75">
        <f t="shared" si="3"/>
        <v>5.5511245812729301E-2</v>
      </c>
      <c r="N27" s="75">
        <f t="shared" si="4"/>
        <v>1.8142681426814269E-2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</row>
    <row r="28" spans="1:32" x14ac:dyDescent="0.25">
      <c r="A28" s="20" t="s">
        <v>34</v>
      </c>
      <c r="B28" s="20" t="s">
        <v>35</v>
      </c>
      <c r="C28" s="20">
        <v>43888</v>
      </c>
      <c r="D28" s="20">
        <v>32516</v>
      </c>
      <c r="E28" s="20">
        <v>4147</v>
      </c>
      <c r="F28" s="20">
        <v>4413</v>
      </c>
      <c r="G28" s="20">
        <f>_xlfn.XLOOKUP(B28,Total!B:B,Total!I:I)</f>
        <v>157</v>
      </c>
      <c r="H28" s="20">
        <f>_xlfn.XLOOKUP(B28,Total!B:B,Total!BA:BA)</f>
        <v>95</v>
      </c>
      <c r="I28" s="37">
        <f t="shared" si="0"/>
        <v>4.828392176159429E-3</v>
      </c>
      <c r="J28" s="37">
        <f t="shared" si="1"/>
        <v>2.9216385779308649E-3</v>
      </c>
      <c r="K28" s="20">
        <f t="shared" si="5"/>
        <v>-62</v>
      </c>
      <c r="L28" s="76"/>
      <c r="M28" s="76">
        <f t="shared" si="3"/>
        <v>3.7858693031106824E-2</v>
      </c>
      <c r="N28" s="76">
        <f t="shared" si="4"/>
        <v>2.1527305687740767E-2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</row>
    <row r="29" spans="1:32" x14ac:dyDescent="0.25">
      <c r="A29" s="19" t="s">
        <v>14</v>
      </c>
      <c r="B29" s="19" t="s">
        <v>15</v>
      </c>
      <c r="C29" s="19">
        <v>63949</v>
      </c>
      <c r="D29" s="19">
        <v>47439</v>
      </c>
      <c r="E29" s="19">
        <v>6061</v>
      </c>
      <c r="F29" s="19">
        <v>6301</v>
      </c>
      <c r="G29" s="19">
        <f>_xlfn.XLOOKUP(B29,Total!B:B,Total!I:I)</f>
        <v>321</v>
      </c>
      <c r="H29" s="19">
        <f>_xlfn.XLOOKUP(B29,Total!B:B,Total!BA:BA)</f>
        <v>134</v>
      </c>
      <c r="I29" s="36">
        <f t="shared" si="0"/>
        <v>6.7665844558274834E-3</v>
      </c>
      <c r="J29" s="36">
        <f t="shared" si="1"/>
        <v>2.8246801155167689E-3</v>
      </c>
      <c r="K29" s="19">
        <f t="shared" si="5"/>
        <v>-187</v>
      </c>
      <c r="L29" s="75"/>
      <c r="M29" s="75">
        <f t="shared" si="3"/>
        <v>5.2961557498762579E-2</v>
      </c>
      <c r="N29" s="75">
        <f t="shared" si="4"/>
        <v>2.1266465640374543E-2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</row>
    <row r="30" spans="1:32" x14ac:dyDescent="0.25">
      <c r="A30" s="20" t="s">
        <v>67</v>
      </c>
      <c r="B30" s="20" t="s">
        <v>68</v>
      </c>
      <c r="C30" s="20">
        <v>3385</v>
      </c>
      <c r="D30" s="20">
        <v>2940</v>
      </c>
      <c r="E30" s="20">
        <v>39</v>
      </c>
      <c r="F30" s="20">
        <v>184</v>
      </c>
      <c r="G30" s="20">
        <f>_xlfn.XLOOKUP(B30,Total!B:B,Total!I:I)</f>
        <v>2</v>
      </c>
      <c r="H30" s="20">
        <f>_xlfn.XLOOKUP(B30,Total!B:B,Total!BA:BA)</f>
        <v>0</v>
      </c>
      <c r="I30" s="37">
        <f t="shared" si="0"/>
        <v>6.8027210884353737E-4</v>
      </c>
      <c r="J30" s="37">
        <f t="shared" si="1"/>
        <v>0</v>
      </c>
      <c r="K30" s="20">
        <f t="shared" si="5"/>
        <v>-2</v>
      </c>
      <c r="L30" s="76"/>
      <c r="M30" s="76">
        <f t="shared" si="3"/>
        <v>5.128205128205128E-2</v>
      </c>
      <c r="N30" s="76">
        <f t="shared" si="4"/>
        <v>0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 spans="1:32" x14ac:dyDescent="0.25">
      <c r="A31" s="19" t="s">
        <v>65</v>
      </c>
      <c r="B31" s="19" t="s">
        <v>66</v>
      </c>
      <c r="C31" s="19">
        <v>9485</v>
      </c>
      <c r="D31" s="19">
        <v>8435</v>
      </c>
      <c r="E31" s="19">
        <v>193</v>
      </c>
      <c r="F31" s="19">
        <v>389</v>
      </c>
      <c r="G31" s="19">
        <f>_xlfn.XLOOKUP(B31,Total!B:B,Total!I:I)</f>
        <v>24</v>
      </c>
      <c r="H31" s="19">
        <f>_xlfn.XLOOKUP(B31,Total!B:B,Total!BA:BA)</f>
        <v>3</v>
      </c>
      <c r="I31" s="36">
        <f t="shared" si="0"/>
        <v>2.845287492590397E-3</v>
      </c>
      <c r="J31" s="36">
        <f t="shared" si="1"/>
        <v>3.5566093657379963E-4</v>
      </c>
      <c r="K31" s="19">
        <f t="shared" si="5"/>
        <v>-21</v>
      </c>
      <c r="L31" s="75">
        <f>(H31-G31)/G31</f>
        <v>-0.875</v>
      </c>
      <c r="M31" s="77">
        <f t="shared" si="3"/>
        <v>0.12435233160621761</v>
      </c>
      <c r="N31" s="77">
        <f t="shared" si="4"/>
        <v>7.7120822622107968E-3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 spans="1:32" x14ac:dyDescent="0.25">
      <c r="A32" s="20" t="s">
        <v>52</v>
      </c>
      <c r="B32" s="20" t="s">
        <v>53</v>
      </c>
      <c r="C32" s="20">
        <v>24308</v>
      </c>
      <c r="D32" s="20">
        <v>18586</v>
      </c>
      <c r="E32" s="20">
        <v>0</v>
      </c>
      <c r="F32" s="20">
        <v>0</v>
      </c>
      <c r="G32" s="20">
        <f>_xlfn.XLOOKUP(B32,Total!B:B,Total!I:I)</f>
        <v>0</v>
      </c>
      <c r="H32" s="20">
        <f>_xlfn.XLOOKUP(B32,Total!B:B,Total!BA:BA)</f>
        <v>0</v>
      </c>
      <c r="I32" s="37">
        <f t="shared" si="0"/>
        <v>0</v>
      </c>
      <c r="J32" s="37">
        <f t="shared" si="1"/>
        <v>0</v>
      </c>
      <c r="K32" s="20">
        <f t="shared" si="5"/>
        <v>0</v>
      </c>
      <c r="L32" s="76"/>
      <c r="M32" s="76"/>
      <c r="N32" s="76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</row>
    <row r="33" spans="1:32" x14ac:dyDescent="0.25">
      <c r="A33" s="19" t="s">
        <v>52</v>
      </c>
      <c r="B33" s="19" t="s">
        <v>58</v>
      </c>
      <c r="C33" s="19">
        <v>28896</v>
      </c>
      <c r="D33" s="19">
        <v>23559</v>
      </c>
      <c r="E33" s="19">
        <v>0</v>
      </c>
      <c r="F33" s="19">
        <v>0</v>
      </c>
      <c r="G33" s="19">
        <f>_xlfn.XLOOKUP(B33,Total!B:B,Total!I:I)</f>
        <v>0</v>
      </c>
      <c r="H33" s="19">
        <f>_xlfn.XLOOKUP(B33,Total!B:B,Total!BA:BA)</f>
        <v>0</v>
      </c>
      <c r="I33" s="36">
        <f t="shared" si="0"/>
        <v>0</v>
      </c>
      <c r="J33" s="36">
        <f t="shared" si="1"/>
        <v>0</v>
      </c>
      <c r="K33" s="19">
        <f t="shared" si="5"/>
        <v>0</v>
      </c>
      <c r="L33" s="75"/>
      <c r="M33" s="75"/>
      <c r="N33" s="75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 spans="1:32" x14ac:dyDescent="0.25">
      <c r="A34" s="20" t="s">
        <v>52</v>
      </c>
      <c r="B34" s="20" t="s">
        <v>59</v>
      </c>
      <c r="C34" s="20">
        <v>5607</v>
      </c>
      <c r="D34" s="20">
        <v>4206</v>
      </c>
      <c r="E34" s="20">
        <v>0</v>
      </c>
      <c r="F34" s="20">
        <v>0</v>
      </c>
      <c r="G34" s="20">
        <f>_xlfn.XLOOKUP(B34,Total!B:B,Total!I:I)</f>
        <v>0</v>
      </c>
      <c r="H34" s="20">
        <f>_xlfn.XLOOKUP(B34,Total!B:B,Total!BA:BA)</f>
        <v>0</v>
      </c>
      <c r="I34" s="37">
        <f t="shared" si="0"/>
        <v>0</v>
      </c>
      <c r="J34" s="37">
        <f t="shared" si="1"/>
        <v>0</v>
      </c>
      <c r="K34" s="20">
        <f t="shared" si="5"/>
        <v>0</v>
      </c>
      <c r="L34" s="76"/>
      <c r="M34" s="76"/>
      <c r="N34" s="76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 spans="1:32" x14ac:dyDescent="0.25">
      <c r="A35" s="19" t="s">
        <v>52</v>
      </c>
      <c r="B35" s="19" t="s">
        <v>64</v>
      </c>
      <c r="C35" s="19">
        <v>3041</v>
      </c>
      <c r="D35" s="19">
        <v>2409</v>
      </c>
      <c r="E35" s="19">
        <v>0</v>
      </c>
      <c r="F35" s="19">
        <v>0</v>
      </c>
      <c r="G35" s="19">
        <f>_xlfn.XLOOKUP(B35,Total!B:B,Total!I:I)</f>
        <v>0</v>
      </c>
      <c r="H35" s="19">
        <f>_xlfn.XLOOKUP(B35,Total!B:B,Total!BA:BA)</f>
        <v>0</v>
      </c>
      <c r="I35" s="36">
        <f t="shared" si="0"/>
        <v>0</v>
      </c>
      <c r="J35" s="36">
        <f t="shared" si="1"/>
        <v>0</v>
      </c>
      <c r="K35" s="19">
        <f t="shared" si="5"/>
        <v>0</v>
      </c>
      <c r="L35" s="75"/>
      <c r="M35" s="75"/>
      <c r="N35" s="75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 spans="1:32" x14ac:dyDescent="0.25">
      <c r="A36" s="20" t="s">
        <v>52</v>
      </c>
      <c r="B36" s="20" t="s">
        <v>69</v>
      </c>
      <c r="C36" s="20">
        <v>4493</v>
      </c>
      <c r="D36" s="20">
        <v>3426</v>
      </c>
      <c r="E36" s="20">
        <v>0</v>
      </c>
      <c r="F36" s="20">
        <v>0</v>
      </c>
      <c r="G36" s="20">
        <f>_xlfn.XLOOKUP(B36,Total!B:B,Total!I:I)</f>
        <v>0</v>
      </c>
      <c r="H36" s="20">
        <f>_xlfn.XLOOKUP(B36,Total!B:B,Total!BA:BA)</f>
        <v>0</v>
      </c>
      <c r="I36" s="37">
        <f t="shared" si="0"/>
        <v>0</v>
      </c>
      <c r="J36" s="37">
        <f t="shared" si="1"/>
        <v>0</v>
      </c>
      <c r="K36" s="20">
        <f t="shared" si="5"/>
        <v>0</v>
      </c>
      <c r="L36" s="76"/>
      <c r="M36" s="76"/>
      <c r="N36" s="76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 spans="1:32" x14ac:dyDescent="0.25">
      <c r="A37" s="19" t="s">
        <v>52</v>
      </c>
      <c r="B37" s="19" t="s">
        <v>70</v>
      </c>
      <c r="C37" s="19">
        <v>3943</v>
      </c>
      <c r="D37" s="19">
        <v>3266</v>
      </c>
      <c r="E37" s="19">
        <v>0</v>
      </c>
      <c r="F37" s="19">
        <v>0</v>
      </c>
      <c r="G37" s="19">
        <f>_xlfn.XLOOKUP(B37,Total!B:B,Total!I:I)</f>
        <v>0</v>
      </c>
      <c r="H37" s="19">
        <f>_xlfn.XLOOKUP(B37,Total!B:B,Total!BA:BA)</f>
        <v>0</v>
      </c>
      <c r="I37" s="36">
        <f t="shared" si="0"/>
        <v>0</v>
      </c>
      <c r="J37" s="36">
        <f t="shared" si="1"/>
        <v>0</v>
      </c>
      <c r="K37" s="19">
        <f t="shared" si="5"/>
        <v>0</v>
      </c>
      <c r="L37" s="75"/>
      <c r="M37" s="75"/>
      <c r="N37" s="75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8" spans="1:32" x14ac:dyDescent="0.25">
      <c r="A38" s="20" t="s">
        <v>52</v>
      </c>
      <c r="B38" s="20" t="s">
        <v>71</v>
      </c>
      <c r="C38" s="20">
        <v>3240</v>
      </c>
      <c r="D38" s="20">
        <v>2762</v>
      </c>
      <c r="E38" s="20">
        <v>0</v>
      </c>
      <c r="F38" s="20">
        <v>0</v>
      </c>
      <c r="G38" s="20">
        <f>_xlfn.XLOOKUP(B38,Total!B:B,Total!I:I)</f>
        <v>0</v>
      </c>
      <c r="H38" s="20">
        <f>_xlfn.XLOOKUP(B38,Total!B:B,Total!BA:BA)</f>
        <v>0</v>
      </c>
      <c r="I38" s="37">
        <f t="shared" si="0"/>
        <v>0</v>
      </c>
      <c r="J38" s="37">
        <f t="shared" si="1"/>
        <v>0</v>
      </c>
      <c r="K38" s="20">
        <f t="shared" si="5"/>
        <v>0</v>
      </c>
      <c r="L38" s="76"/>
      <c r="M38" s="76"/>
      <c r="N38" s="76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</row>
    <row r="39" spans="1:32" x14ac:dyDescent="0.25">
      <c r="A39" s="19" t="s">
        <v>52</v>
      </c>
      <c r="B39" s="19" t="s">
        <v>72</v>
      </c>
      <c r="C39" s="19">
        <v>2867</v>
      </c>
      <c r="D39" s="19">
        <v>2490</v>
      </c>
      <c r="E39" s="19">
        <v>0</v>
      </c>
      <c r="F39" s="19">
        <v>0</v>
      </c>
      <c r="G39" s="19">
        <f>_xlfn.XLOOKUP(B39,Total!B:B,Total!I:I)</f>
        <v>0</v>
      </c>
      <c r="H39" s="19">
        <f>_xlfn.XLOOKUP(B39,Total!B:B,Total!BA:BA)</f>
        <v>0</v>
      </c>
      <c r="I39" s="36">
        <f t="shared" si="0"/>
        <v>0</v>
      </c>
      <c r="J39" s="36">
        <f t="shared" si="1"/>
        <v>0</v>
      </c>
      <c r="K39" s="19">
        <f t="shared" si="5"/>
        <v>0</v>
      </c>
      <c r="L39" s="75"/>
      <c r="M39" s="75"/>
      <c r="N39" s="75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</row>
    <row r="40" spans="1:32" x14ac:dyDescent="0.25">
      <c r="A40" s="20" t="s">
        <v>52</v>
      </c>
      <c r="B40" s="20" t="s">
        <v>73</v>
      </c>
      <c r="C40" s="20">
        <v>2481</v>
      </c>
      <c r="D40" s="20">
        <v>2078</v>
      </c>
      <c r="E40" s="20">
        <v>0</v>
      </c>
      <c r="F40" s="20">
        <v>0</v>
      </c>
      <c r="G40" s="20">
        <f>_xlfn.XLOOKUP(B40,Total!B:B,Total!I:I)</f>
        <v>0</v>
      </c>
      <c r="H40" s="20">
        <f>_xlfn.XLOOKUP(B40,Total!B:B,Total!BA:BA)</f>
        <v>0</v>
      </c>
      <c r="I40" s="37">
        <f t="shared" si="0"/>
        <v>0</v>
      </c>
      <c r="J40" s="37">
        <f t="shared" si="1"/>
        <v>0</v>
      </c>
      <c r="K40" s="20">
        <f t="shared" si="5"/>
        <v>0</v>
      </c>
      <c r="L40" s="76"/>
      <c r="M40" s="76"/>
      <c r="N40" s="76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2" ht="15.75" x14ac:dyDescent="0.25">
      <c r="A41" s="22"/>
      <c r="B41" s="22" t="s">
        <v>74</v>
      </c>
      <c r="C41" s="22">
        <f t="shared" ref="C41:H41" si="6">SUM(C3:C40)</f>
        <v>1602515</v>
      </c>
      <c r="D41" s="22">
        <f t="shared" si="6"/>
        <v>1252619</v>
      </c>
      <c r="E41" s="22">
        <f t="shared" si="6"/>
        <v>231116</v>
      </c>
      <c r="F41" s="22">
        <f t="shared" si="6"/>
        <v>240157</v>
      </c>
      <c r="G41" s="22">
        <f t="shared" si="6"/>
        <v>15274</v>
      </c>
      <c r="H41" s="22">
        <f t="shared" si="6"/>
        <v>8647</v>
      </c>
      <c r="I41" s="45">
        <f t="shared" si="0"/>
        <v>1.2193651860621626E-2</v>
      </c>
      <c r="J41" s="45">
        <f t="shared" si="1"/>
        <v>6.9031365483039932E-3</v>
      </c>
      <c r="K41" s="22">
        <f>SUM(K1:K40)</f>
        <v>-6627</v>
      </c>
      <c r="L41" s="72">
        <f>(H41-G41)/G41</f>
        <v>-0.43387455807254155</v>
      </c>
      <c r="M41" s="38">
        <f>G41/E41</f>
        <v>6.6088025061008318E-2</v>
      </c>
      <c r="N41" s="38">
        <f>H41/F41</f>
        <v>3.6005612994832549E-2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spans="1:32" ht="15.75" x14ac:dyDescent="0.25"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51" spans="3:32" x14ac:dyDescent="0.25">
      <c r="C51" s="8"/>
      <c r="D51" s="8"/>
      <c r="E51" s="8"/>
      <c r="F51" s="8"/>
      <c r="G51" s="8"/>
      <c r="H51" s="8"/>
      <c r="I51" s="8"/>
      <c r="J51" s="8"/>
      <c r="K51" s="43"/>
      <c r="L51" s="81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3:32" x14ac:dyDescent="0.25">
      <c r="C52" s="8"/>
      <c r="D52" s="8"/>
      <c r="E52" s="8"/>
      <c r="F52" s="8"/>
      <c r="G52" s="8"/>
      <c r="H52" s="8"/>
      <c r="I52" s="8"/>
      <c r="J52" s="8"/>
      <c r="K52" s="43"/>
      <c r="L52" s="81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</sheetData>
  <autoFilter ref="A2:AF2" xr:uid="{1B2E81FE-C549-41FA-ADF8-4795A1C1312E}">
    <sortState xmlns:xlrd2="http://schemas.microsoft.com/office/spreadsheetml/2017/richdata2" ref="A3:AF41">
      <sortCondition descending="1" ref="J2"/>
    </sortState>
  </autoFilter>
  <conditionalFormatting sqref="I3:I41">
    <cfRule type="cellIs" dxfId="102" priority="11" operator="lessThan">
      <formula>$I$40</formula>
    </cfRule>
    <cfRule type="cellIs" dxfId="101" priority="13" operator="lessThan">
      <formula>0.18</formula>
    </cfRule>
  </conditionalFormatting>
  <conditionalFormatting sqref="J3:J40">
    <cfRule type="cellIs" dxfId="100" priority="10" operator="lessThan">
      <formula>$J$40</formula>
    </cfRule>
    <cfRule type="cellIs" dxfId="99" priority="12" operator="lessThan">
      <formula>0.22</formula>
    </cfRule>
  </conditionalFormatting>
  <conditionalFormatting sqref="J41">
    <cfRule type="cellIs" dxfId="98" priority="7" operator="lessThan">
      <formula>$I$40</formula>
    </cfRule>
    <cfRule type="cellIs" dxfId="97" priority="8" operator="lessThan">
      <formula>0.18</formula>
    </cfRule>
  </conditionalFormatting>
  <conditionalFormatting sqref="M3:M40">
    <cfRule type="cellIs" dxfId="96" priority="2" operator="lessThan">
      <formula>$M$41</formula>
    </cfRule>
  </conditionalFormatting>
  <conditionalFormatting sqref="M32:N40">
    <cfRule type="cellIs" dxfId="95" priority="4" operator="lessThan">
      <formula>$L$40</formula>
    </cfRule>
  </conditionalFormatting>
  <conditionalFormatting sqref="N3:N40">
    <cfRule type="cellIs" dxfId="94" priority="1" operator="lessThan">
      <formula>$N$41</formula>
    </cfRule>
  </conditionalFormatting>
  <conditionalFormatting sqref="N31">
    <cfRule type="cellIs" dxfId="93" priority="3" operator="lessThan">
      <formula>$M$41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E5D63-3A4F-4F88-AEBE-982FE40DE0B6}">
  <sheetPr>
    <tabColor rgb="FFFF0000"/>
  </sheetPr>
  <dimension ref="A1:AF52"/>
  <sheetViews>
    <sheetView showGridLines="0" zoomScale="85" zoomScaleNormal="85" workbookViewId="0">
      <pane xSplit="2" ySplit="2" topLeftCell="C3" activePane="bottomRight" state="frozen"/>
      <selection activeCell="K18" sqref="K18"/>
      <selection pane="topRight" activeCell="K18" sqref="K18"/>
      <selection pane="bottomLeft" activeCell="K18" sqref="K18"/>
      <selection pane="bottomRight" activeCell="G3" sqref="G3:G31"/>
    </sheetView>
  </sheetViews>
  <sheetFormatPr defaultRowHeight="15" x14ac:dyDescent="0.25"/>
  <cols>
    <col min="1" max="2" width="19.28515625" style="7" customWidth="1"/>
    <col min="3" max="4" width="12.140625" style="7" bestFit="1" customWidth="1"/>
    <col min="5" max="5" width="12.140625" style="7" customWidth="1"/>
    <col min="6" max="8" width="21.5703125" style="7" bestFit="1" customWidth="1"/>
    <col min="9" max="9" width="23.140625" style="7" hidden="1" customWidth="1"/>
    <col min="10" max="10" width="26.7109375" style="7" hidden="1" customWidth="1"/>
    <col min="11" max="11" width="26.7109375" style="42" customWidth="1"/>
    <col min="12" max="12" width="16.140625" style="7" bestFit="1" customWidth="1"/>
    <col min="13" max="13" width="21.5703125" style="12" bestFit="1" customWidth="1"/>
    <col min="14" max="14" width="21.5703125" style="17" bestFit="1" customWidth="1"/>
    <col min="15" max="32" width="15.140625" style="7" bestFit="1" customWidth="1"/>
  </cols>
  <sheetData>
    <row r="1" spans="1:32" ht="18.75" x14ac:dyDescent="0.3">
      <c r="A1" s="10"/>
      <c r="B1" s="10"/>
      <c r="C1" s="11"/>
      <c r="D1" s="11"/>
      <c r="E1" s="11"/>
      <c r="F1" s="11"/>
      <c r="G1" s="64">
        <v>2025</v>
      </c>
      <c r="H1" s="64">
        <v>2026</v>
      </c>
      <c r="I1" s="59" t="s">
        <v>79</v>
      </c>
      <c r="J1" s="59"/>
      <c r="K1" s="66"/>
      <c r="L1" s="2"/>
      <c r="M1" s="70"/>
      <c r="N1" s="73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8.7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98</v>
      </c>
      <c r="F2" s="3" t="s">
        <v>94</v>
      </c>
      <c r="G2" s="3" t="s">
        <v>77</v>
      </c>
      <c r="H2" s="3" t="s">
        <v>77</v>
      </c>
      <c r="I2" s="9" t="s">
        <v>88</v>
      </c>
      <c r="J2" s="9" t="s">
        <v>88</v>
      </c>
      <c r="K2" s="41" t="s">
        <v>97</v>
      </c>
      <c r="L2" s="3" t="s">
        <v>87</v>
      </c>
      <c r="M2" s="71" t="s">
        <v>106</v>
      </c>
      <c r="N2" s="15" t="s">
        <v>107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s="19" t="s">
        <v>56</v>
      </c>
      <c r="B3" s="19" t="s">
        <v>57</v>
      </c>
      <c r="C3" s="19">
        <v>7920</v>
      </c>
      <c r="D3" s="19">
        <v>6833</v>
      </c>
      <c r="E3" s="19">
        <v>9307</v>
      </c>
      <c r="F3" s="19">
        <v>9261</v>
      </c>
      <c r="G3" s="19">
        <f>_xlfn.XLOOKUP(B3,Total!B:B,Total!H:H)</f>
        <v>133</v>
      </c>
      <c r="H3" s="19">
        <f>_xlfn.XLOOKUP(B3,Total!B:B,Total!AZ:AZ)</f>
        <v>814</v>
      </c>
      <c r="I3" s="36">
        <f t="shared" ref="I3:I41" si="0">G3/D3</f>
        <v>1.9464364115322697E-2</v>
      </c>
      <c r="J3" s="36">
        <f t="shared" ref="J3:J41" si="1">H3/D3</f>
        <v>0.11912776232986975</v>
      </c>
      <c r="K3" s="19">
        <f t="shared" ref="K3:K40" si="2">H3-G3</f>
        <v>681</v>
      </c>
      <c r="L3" s="36">
        <f t="shared" ref="L3:L25" si="3">(H3-G3)/G3</f>
        <v>5.1203007518796992</v>
      </c>
      <c r="M3" s="50">
        <f t="shared" ref="M3:M31" si="4">G3/E3</f>
        <v>1.4290319114644892E-2</v>
      </c>
      <c r="N3" s="36">
        <f t="shared" ref="N3:N31" si="5">H3/F3</f>
        <v>8.789547565057769E-2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 spans="1:32" x14ac:dyDescent="0.25">
      <c r="A4" s="20" t="s">
        <v>60</v>
      </c>
      <c r="B4" s="20" t="s">
        <v>61</v>
      </c>
      <c r="C4" s="20">
        <v>8533</v>
      </c>
      <c r="D4" s="20">
        <v>6447</v>
      </c>
      <c r="E4" s="20">
        <v>3155</v>
      </c>
      <c r="F4" s="20">
        <v>3424</v>
      </c>
      <c r="G4" s="20">
        <f>_xlfn.XLOOKUP(B4,Total!B:B,Total!H:H)</f>
        <v>123</v>
      </c>
      <c r="H4" s="20">
        <f>_xlfn.XLOOKUP(B4,Total!B:B,Total!AZ:AZ)</f>
        <v>326</v>
      </c>
      <c r="I4" s="37">
        <f t="shared" si="0"/>
        <v>1.9078641228478362E-2</v>
      </c>
      <c r="J4" s="37">
        <f t="shared" si="1"/>
        <v>5.0566154800682488E-2</v>
      </c>
      <c r="K4" s="20">
        <f t="shared" si="2"/>
        <v>203</v>
      </c>
      <c r="L4" s="37">
        <f t="shared" si="3"/>
        <v>1.6504065040650406</v>
      </c>
      <c r="M4" s="51">
        <f t="shared" si="4"/>
        <v>3.8985736925515053E-2</v>
      </c>
      <c r="N4" s="37">
        <f t="shared" si="5"/>
        <v>9.5210280373831779E-2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x14ac:dyDescent="0.25">
      <c r="A5" s="19" t="s">
        <v>62</v>
      </c>
      <c r="B5" s="19" t="s">
        <v>63</v>
      </c>
      <c r="C5" s="19">
        <v>10771</v>
      </c>
      <c r="D5" s="19">
        <v>9026</v>
      </c>
      <c r="E5" s="19">
        <v>2881</v>
      </c>
      <c r="F5" s="19">
        <v>2976</v>
      </c>
      <c r="G5" s="19">
        <f>_xlfn.XLOOKUP(B5,Total!B:B,Total!H:H)</f>
        <v>25</v>
      </c>
      <c r="H5" s="19">
        <f>_xlfn.XLOOKUP(B5,Total!B:B,Total!AZ:AZ)</f>
        <v>70</v>
      </c>
      <c r="I5" s="36">
        <f t="shared" si="0"/>
        <v>2.7697762020828715E-3</v>
      </c>
      <c r="J5" s="36">
        <f t="shared" si="1"/>
        <v>7.7553733658320412E-3</v>
      </c>
      <c r="K5" s="19">
        <f t="shared" si="2"/>
        <v>45</v>
      </c>
      <c r="L5" s="36">
        <f t="shared" si="3"/>
        <v>1.8</v>
      </c>
      <c r="M5" s="50">
        <f t="shared" si="4"/>
        <v>8.6775425199583471E-3</v>
      </c>
      <c r="N5" s="36">
        <f t="shared" si="5"/>
        <v>2.3521505376344086E-2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</row>
    <row r="6" spans="1:32" x14ac:dyDescent="0.25">
      <c r="A6" s="20" t="s">
        <v>48</v>
      </c>
      <c r="B6" s="20" t="s">
        <v>49</v>
      </c>
      <c r="C6" s="20">
        <v>27775</v>
      </c>
      <c r="D6" s="20">
        <v>22138</v>
      </c>
      <c r="E6" s="20">
        <v>7374</v>
      </c>
      <c r="F6" s="20">
        <v>7529</v>
      </c>
      <c r="G6" s="20">
        <f>_xlfn.XLOOKUP(B6,Total!B:B,Total!H:H)</f>
        <v>454</v>
      </c>
      <c r="H6" s="20">
        <f>_xlfn.XLOOKUP(B6,Total!B:B,Total!AZ:AZ)</f>
        <v>728</v>
      </c>
      <c r="I6" s="37">
        <f t="shared" si="0"/>
        <v>2.0507724275002259E-2</v>
      </c>
      <c r="J6" s="37">
        <f t="shared" si="1"/>
        <v>3.2884632758153398E-2</v>
      </c>
      <c r="K6" s="20">
        <f t="shared" si="2"/>
        <v>274</v>
      </c>
      <c r="L6" s="37">
        <f t="shared" si="3"/>
        <v>0.6035242290748899</v>
      </c>
      <c r="M6" s="51">
        <f t="shared" si="4"/>
        <v>6.1567670192568487E-2</v>
      </c>
      <c r="N6" s="37">
        <f t="shared" si="5"/>
        <v>9.6692787886837564E-2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7" spans="1:32" x14ac:dyDescent="0.25">
      <c r="A7" s="19" t="s">
        <v>6</v>
      </c>
      <c r="B7" s="19" t="s">
        <v>7</v>
      </c>
      <c r="C7" s="19">
        <v>227466</v>
      </c>
      <c r="D7" s="19">
        <v>177302</v>
      </c>
      <c r="E7" s="19">
        <v>45420</v>
      </c>
      <c r="F7" s="19">
        <v>47635</v>
      </c>
      <c r="G7" s="19">
        <f>_xlfn.XLOOKUP(B7,Total!B:B,Total!H:H)</f>
        <v>4854</v>
      </c>
      <c r="H7" s="19">
        <f>_xlfn.XLOOKUP(B7,Total!B:B,Total!AZ:AZ)</f>
        <v>9546</v>
      </c>
      <c r="I7" s="36">
        <f t="shared" si="0"/>
        <v>2.7377017743736676E-2</v>
      </c>
      <c r="J7" s="36">
        <f t="shared" si="1"/>
        <v>5.3840340210488322E-2</v>
      </c>
      <c r="K7" s="19">
        <f t="shared" si="2"/>
        <v>4692</v>
      </c>
      <c r="L7" s="36">
        <f t="shared" si="3"/>
        <v>0.96662546353522871</v>
      </c>
      <c r="M7" s="50">
        <f t="shared" si="4"/>
        <v>0.10686922060766182</v>
      </c>
      <c r="N7" s="36">
        <f t="shared" si="5"/>
        <v>0.20039886637976279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spans="1:32" x14ac:dyDescent="0.25">
      <c r="A8" s="20" t="s">
        <v>50</v>
      </c>
      <c r="B8" s="20" t="s">
        <v>51</v>
      </c>
      <c r="C8" s="20">
        <v>27716</v>
      </c>
      <c r="D8" s="20">
        <v>21269</v>
      </c>
      <c r="E8" s="20">
        <v>5730</v>
      </c>
      <c r="F8" s="20">
        <v>5947</v>
      </c>
      <c r="G8" s="20">
        <f>_xlfn.XLOOKUP(B8,Total!B:B,Total!H:H)</f>
        <v>296</v>
      </c>
      <c r="H8" s="20">
        <f>_xlfn.XLOOKUP(B8,Total!B:B,Total!AZ:AZ)</f>
        <v>664</v>
      </c>
      <c r="I8" s="37">
        <f t="shared" si="0"/>
        <v>1.39169683577037E-2</v>
      </c>
      <c r="J8" s="37">
        <f t="shared" si="1"/>
        <v>3.1219145234848842E-2</v>
      </c>
      <c r="K8" s="20">
        <f t="shared" si="2"/>
        <v>368</v>
      </c>
      <c r="L8" s="37">
        <f t="shared" si="3"/>
        <v>1.2432432432432432</v>
      </c>
      <c r="M8" s="51">
        <f t="shared" si="4"/>
        <v>5.1657940663176263E-2</v>
      </c>
      <c r="N8" s="37">
        <f t="shared" si="5"/>
        <v>0.11165293425256431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2" x14ac:dyDescent="0.25">
      <c r="A9" s="19" t="s">
        <v>22</v>
      </c>
      <c r="B9" s="19" t="s">
        <v>23</v>
      </c>
      <c r="C9" s="19">
        <v>48079</v>
      </c>
      <c r="D9" s="19">
        <v>36276</v>
      </c>
      <c r="E9" s="19">
        <v>8493</v>
      </c>
      <c r="F9" s="19">
        <v>8808</v>
      </c>
      <c r="G9" s="19">
        <f>_xlfn.XLOOKUP(B9,Total!B:B,Total!H:H)</f>
        <v>366</v>
      </c>
      <c r="H9" s="19">
        <f>_xlfn.XLOOKUP(B9,Total!B:B,Total!AZ:AZ)</f>
        <v>937</v>
      </c>
      <c r="I9" s="36">
        <f t="shared" si="0"/>
        <v>1.0089315249751903E-2</v>
      </c>
      <c r="J9" s="36">
        <f t="shared" si="1"/>
        <v>2.5829749696769214E-2</v>
      </c>
      <c r="K9" s="19">
        <f t="shared" si="2"/>
        <v>571</v>
      </c>
      <c r="L9" s="36">
        <f t="shared" si="3"/>
        <v>1.5601092896174864</v>
      </c>
      <c r="M9" s="50">
        <f t="shared" si="4"/>
        <v>4.3094312963617099E-2</v>
      </c>
      <c r="N9" s="36">
        <f t="shared" si="5"/>
        <v>0.10638056312443234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</row>
    <row r="10" spans="1:32" x14ac:dyDescent="0.25">
      <c r="A10" s="20" t="s">
        <v>30</v>
      </c>
      <c r="B10" s="20" t="s">
        <v>31</v>
      </c>
      <c r="C10" s="20">
        <v>18486</v>
      </c>
      <c r="D10" s="20">
        <v>14806</v>
      </c>
      <c r="E10" s="20">
        <v>3610</v>
      </c>
      <c r="F10" s="20">
        <v>3691</v>
      </c>
      <c r="G10" s="20">
        <f>_xlfn.XLOOKUP(B10,Total!B:B,Total!H:H)</f>
        <v>30</v>
      </c>
      <c r="H10" s="20">
        <f>_xlfn.XLOOKUP(B10,Total!B:B,Total!AZ:AZ)</f>
        <v>151</v>
      </c>
      <c r="I10" s="37">
        <f t="shared" si="0"/>
        <v>2.026205592327435E-3</v>
      </c>
      <c r="J10" s="37">
        <f t="shared" si="1"/>
        <v>1.0198568148048089E-2</v>
      </c>
      <c r="K10" s="20">
        <f t="shared" si="2"/>
        <v>121</v>
      </c>
      <c r="L10" s="37">
        <f t="shared" si="3"/>
        <v>4.0333333333333332</v>
      </c>
      <c r="M10" s="51">
        <f t="shared" si="4"/>
        <v>8.3102493074792248E-3</v>
      </c>
      <c r="N10" s="37">
        <f t="shared" si="5"/>
        <v>4.0910322405852073E-2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1:32" x14ac:dyDescent="0.25">
      <c r="A11" s="19" t="s">
        <v>18</v>
      </c>
      <c r="B11" s="19" t="s">
        <v>19</v>
      </c>
      <c r="C11" s="19">
        <v>64742</v>
      </c>
      <c r="D11" s="19">
        <v>50171</v>
      </c>
      <c r="E11" s="19">
        <v>11839</v>
      </c>
      <c r="F11" s="19">
        <v>11901</v>
      </c>
      <c r="G11" s="19">
        <f>_xlfn.XLOOKUP(B11,Total!B:B,Total!H:H)</f>
        <v>679</v>
      </c>
      <c r="H11" s="19">
        <f>_xlfn.XLOOKUP(B11,Total!B:B,Total!AZ:AZ)</f>
        <v>1897</v>
      </c>
      <c r="I11" s="36">
        <f t="shared" si="0"/>
        <v>1.3533714695740568E-2</v>
      </c>
      <c r="J11" s="36">
        <f t="shared" si="1"/>
        <v>3.7810687448924678E-2</v>
      </c>
      <c r="K11" s="19">
        <f t="shared" si="2"/>
        <v>1218</v>
      </c>
      <c r="L11" s="36">
        <f t="shared" si="3"/>
        <v>1.7938144329896908</v>
      </c>
      <c r="M11" s="50">
        <f t="shared" si="4"/>
        <v>5.7352816960891964E-2</v>
      </c>
      <c r="N11" s="36">
        <f t="shared" si="5"/>
        <v>0.15939836988488362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 spans="1:32" x14ac:dyDescent="0.25">
      <c r="A12" s="20" t="s">
        <v>46</v>
      </c>
      <c r="B12" s="20" t="s">
        <v>47</v>
      </c>
      <c r="C12" s="20">
        <v>22815</v>
      </c>
      <c r="D12" s="20">
        <v>17367</v>
      </c>
      <c r="E12" s="20">
        <v>3945</v>
      </c>
      <c r="F12" s="20">
        <v>4126</v>
      </c>
      <c r="G12" s="20">
        <f>_xlfn.XLOOKUP(B12,Total!B:B,Total!H:H)</f>
        <v>139</v>
      </c>
      <c r="H12" s="20">
        <f>_xlfn.XLOOKUP(B12,Total!B:B,Total!AZ:AZ)</f>
        <v>482</v>
      </c>
      <c r="I12" s="37">
        <f t="shared" si="0"/>
        <v>8.0036851499971206E-3</v>
      </c>
      <c r="J12" s="37">
        <f t="shared" si="1"/>
        <v>2.7753785915817356E-2</v>
      </c>
      <c r="K12" s="20">
        <f t="shared" si="2"/>
        <v>343</v>
      </c>
      <c r="L12" s="37">
        <f t="shared" si="3"/>
        <v>2.4676258992805757</v>
      </c>
      <c r="M12" s="51">
        <f t="shared" si="4"/>
        <v>3.5234474017743982E-2</v>
      </c>
      <c r="N12" s="37">
        <f t="shared" si="5"/>
        <v>0.11682016480853126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</row>
    <row r="13" spans="1:32" x14ac:dyDescent="0.25">
      <c r="A13" s="19" t="s">
        <v>12</v>
      </c>
      <c r="B13" s="19" t="s">
        <v>13</v>
      </c>
      <c r="C13" s="19">
        <v>82745</v>
      </c>
      <c r="D13" s="19">
        <v>65980</v>
      </c>
      <c r="E13" s="19">
        <v>14551</v>
      </c>
      <c r="F13" s="19">
        <v>15027</v>
      </c>
      <c r="G13" s="19">
        <f>_xlfn.XLOOKUP(B13,Total!B:B,Total!H:H)</f>
        <v>1067</v>
      </c>
      <c r="H13" s="19">
        <f>_xlfn.XLOOKUP(B13,Total!B:B,Total!AZ:AZ)</f>
        <v>2512</v>
      </c>
      <c r="I13" s="36">
        <f t="shared" si="0"/>
        <v>1.6171567141558048E-2</v>
      </c>
      <c r="J13" s="36">
        <f t="shared" si="1"/>
        <v>3.8072143073658686E-2</v>
      </c>
      <c r="K13" s="19">
        <f t="shared" si="2"/>
        <v>1445</v>
      </c>
      <c r="L13" s="36">
        <f t="shared" si="3"/>
        <v>1.3542642924086223</v>
      </c>
      <c r="M13" s="50">
        <f t="shared" si="4"/>
        <v>7.3328293588069554E-2</v>
      </c>
      <c r="N13" s="36">
        <f t="shared" si="5"/>
        <v>0.1671657682837559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 spans="1:32" x14ac:dyDescent="0.25">
      <c r="A14" s="20" t="s">
        <v>24</v>
      </c>
      <c r="B14" s="20" t="s">
        <v>25</v>
      </c>
      <c r="C14" s="20">
        <v>70975</v>
      </c>
      <c r="D14" s="20">
        <v>54812</v>
      </c>
      <c r="E14" s="20">
        <v>10092</v>
      </c>
      <c r="F14" s="20">
        <v>10670</v>
      </c>
      <c r="G14" s="20">
        <f>_xlfn.XLOOKUP(B14,Total!B:B,Total!H:H)</f>
        <v>560</v>
      </c>
      <c r="H14" s="20">
        <f>_xlfn.XLOOKUP(B14,Total!B:B,Total!AZ:AZ)</f>
        <v>1089</v>
      </c>
      <c r="I14" s="37">
        <f t="shared" si="0"/>
        <v>1.0216740859665766E-2</v>
      </c>
      <c r="J14" s="37">
        <f t="shared" si="1"/>
        <v>1.9867912136028607E-2</v>
      </c>
      <c r="K14" s="20">
        <f t="shared" si="2"/>
        <v>529</v>
      </c>
      <c r="L14" s="37">
        <f t="shared" si="3"/>
        <v>0.94464285714285712</v>
      </c>
      <c r="M14" s="51">
        <f t="shared" si="4"/>
        <v>5.5489496630994846E-2</v>
      </c>
      <c r="N14" s="37">
        <f t="shared" si="5"/>
        <v>0.10206185567010309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</row>
    <row r="15" spans="1:32" x14ac:dyDescent="0.25">
      <c r="A15" s="19" t="s">
        <v>36</v>
      </c>
      <c r="B15" s="19" t="s">
        <v>37</v>
      </c>
      <c r="C15" s="19">
        <v>33008</v>
      </c>
      <c r="D15" s="19">
        <v>26385</v>
      </c>
      <c r="E15" s="19">
        <v>4844</v>
      </c>
      <c r="F15" s="19">
        <v>5105</v>
      </c>
      <c r="G15" s="19">
        <f>_xlfn.XLOOKUP(B15,Total!B:B,Total!H:H)</f>
        <v>344</v>
      </c>
      <c r="H15" s="19">
        <f>_xlfn.XLOOKUP(B15,Total!B:B,Total!AZ:AZ)</f>
        <v>621</v>
      </c>
      <c r="I15" s="36">
        <f t="shared" si="0"/>
        <v>1.3037710820541974E-2</v>
      </c>
      <c r="J15" s="36">
        <f t="shared" si="1"/>
        <v>2.3536100056850483E-2</v>
      </c>
      <c r="K15" s="19">
        <f t="shared" si="2"/>
        <v>277</v>
      </c>
      <c r="L15" s="36">
        <f t="shared" si="3"/>
        <v>0.80523255813953487</v>
      </c>
      <c r="M15" s="50">
        <f t="shared" si="4"/>
        <v>7.1015689512799338E-2</v>
      </c>
      <c r="N15" s="36">
        <f t="shared" si="5"/>
        <v>0.12164544564152792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</row>
    <row r="16" spans="1:32" x14ac:dyDescent="0.25">
      <c r="A16" s="20" t="s">
        <v>38</v>
      </c>
      <c r="B16" s="20" t="s">
        <v>39</v>
      </c>
      <c r="C16" s="20">
        <v>40664</v>
      </c>
      <c r="D16" s="20">
        <v>31671</v>
      </c>
      <c r="E16" s="20">
        <v>5790</v>
      </c>
      <c r="F16" s="20">
        <v>6091</v>
      </c>
      <c r="G16" s="20">
        <f>_xlfn.XLOOKUP(B16,Total!B:B,Total!H:H)</f>
        <v>190</v>
      </c>
      <c r="H16" s="20">
        <f>_xlfn.XLOOKUP(B16,Total!B:B,Total!AZ:AZ)</f>
        <v>447</v>
      </c>
      <c r="I16" s="37">
        <f t="shared" si="0"/>
        <v>5.9991790597076194E-3</v>
      </c>
      <c r="J16" s="37">
        <f t="shared" si="1"/>
        <v>1.4113858103627924E-2</v>
      </c>
      <c r="K16" s="20">
        <f t="shared" si="2"/>
        <v>257</v>
      </c>
      <c r="L16" s="37">
        <f t="shared" si="3"/>
        <v>1.3526315789473684</v>
      </c>
      <c r="M16" s="51">
        <f t="shared" si="4"/>
        <v>3.281519861830743E-2</v>
      </c>
      <c r="N16" s="37">
        <f t="shared" si="5"/>
        <v>7.3386964373666069E-2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spans="1:32" x14ac:dyDescent="0.25">
      <c r="A17" s="19" t="s">
        <v>40</v>
      </c>
      <c r="B17" s="19" t="s">
        <v>41</v>
      </c>
      <c r="C17" s="19">
        <v>35566</v>
      </c>
      <c r="D17" s="19">
        <v>27813</v>
      </c>
      <c r="E17" s="19">
        <v>4960</v>
      </c>
      <c r="F17" s="19">
        <v>5153</v>
      </c>
      <c r="G17" s="19">
        <f>_xlfn.XLOOKUP(B17,Total!B:B,Total!H:H)</f>
        <v>216</v>
      </c>
      <c r="H17" s="19">
        <f>_xlfn.XLOOKUP(B17,Total!B:B,Total!AZ:AZ)</f>
        <v>440</v>
      </c>
      <c r="I17" s="36">
        <f t="shared" si="0"/>
        <v>7.7661525186064071E-3</v>
      </c>
      <c r="J17" s="36">
        <f t="shared" si="1"/>
        <v>1.581994031567972E-2</v>
      </c>
      <c r="K17" s="19">
        <f t="shared" si="2"/>
        <v>224</v>
      </c>
      <c r="L17" s="36">
        <f t="shared" si="3"/>
        <v>1.037037037037037</v>
      </c>
      <c r="M17" s="50">
        <f t="shared" si="4"/>
        <v>4.3548387096774194E-2</v>
      </c>
      <c r="N17" s="36">
        <f t="shared" si="5"/>
        <v>8.5387153114690473E-2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</row>
    <row r="18" spans="1:32" x14ac:dyDescent="0.25">
      <c r="A18" s="20" t="s">
        <v>42</v>
      </c>
      <c r="B18" s="20" t="s">
        <v>43</v>
      </c>
      <c r="C18" s="20">
        <v>30503</v>
      </c>
      <c r="D18" s="20">
        <v>23708</v>
      </c>
      <c r="E18" s="20">
        <v>4235</v>
      </c>
      <c r="F18" s="20">
        <v>4322</v>
      </c>
      <c r="G18" s="20">
        <f>_xlfn.XLOOKUP(B18,Total!B:B,Total!H:H)</f>
        <v>209</v>
      </c>
      <c r="H18" s="20">
        <f>_xlfn.XLOOKUP(B18,Total!B:B,Total!AZ:AZ)</f>
        <v>395</v>
      </c>
      <c r="I18" s="37">
        <f t="shared" si="0"/>
        <v>8.8155896743715208E-3</v>
      </c>
      <c r="J18" s="37">
        <f t="shared" si="1"/>
        <v>1.666104268601316E-2</v>
      </c>
      <c r="K18" s="20">
        <f t="shared" si="2"/>
        <v>186</v>
      </c>
      <c r="L18" s="37">
        <f t="shared" si="3"/>
        <v>0.88995215311004783</v>
      </c>
      <c r="M18" s="51">
        <f t="shared" si="4"/>
        <v>4.9350649350649353E-2</v>
      </c>
      <c r="N18" s="37">
        <f t="shared" si="5"/>
        <v>9.1392873669597405E-2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 spans="1:32" x14ac:dyDescent="0.25">
      <c r="A19" s="19" t="s">
        <v>28</v>
      </c>
      <c r="B19" s="19" t="s">
        <v>29</v>
      </c>
      <c r="C19" s="19">
        <v>82980</v>
      </c>
      <c r="D19" s="19">
        <v>66517</v>
      </c>
      <c r="E19" s="19">
        <v>11191</v>
      </c>
      <c r="F19" s="19">
        <v>11535</v>
      </c>
      <c r="G19" s="19">
        <f>_xlfn.XLOOKUP(B19,Total!B:B,Total!H:H)</f>
        <v>626</v>
      </c>
      <c r="H19" s="19">
        <f>_xlfn.XLOOKUP(B19,Total!B:B,Total!AZ:AZ)</f>
        <v>1303</v>
      </c>
      <c r="I19" s="36">
        <f t="shared" si="0"/>
        <v>9.4111279823203085E-3</v>
      </c>
      <c r="J19" s="36">
        <f t="shared" si="1"/>
        <v>1.9588977253935085E-2</v>
      </c>
      <c r="K19" s="19">
        <f t="shared" si="2"/>
        <v>677</v>
      </c>
      <c r="L19" s="36">
        <f t="shared" si="3"/>
        <v>1.0814696485623003</v>
      </c>
      <c r="M19" s="50">
        <f t="shared" si="4"/>
        <v>5.5937807166473057E-2</v>
      </c>
      <c r="N19" s="36">
        <f t="shared" si="5"/>
        <v>0.11296055483311661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spans="1:32" x14ac:dyDescent="0.25">
      <c r="A20" s="20" t="s">
        <v>54</v>
      </c>
      <c r="B20" s="20" t="s">
        <v>55</v>
      </c>
      <c r="C20" s="20">
        <v>22868</v>
      </c>
      <c r="D20" s="20">
        <v>19137</v>
      </c>
      <c r="E20" s="20">
        <v>3058</v>
      </c>
      <c r="F20" s="20">
        <v>3239</v>
      </c>
      <c r="G20" s="20">
        <f>_xlfn.XLOOKUP(B20,Total!B:B,Total!H:H)</f>
        <v>91</v>
      </c>
      <c r="H20" s="20">
        <f>_xlfn.XLOOKUP(B20,Total!B:B,Total!AZ:AZ)</f>
        <v>258</v>
      </c>
      <c r="I20" s="37">
        <f t="shared" si="0"/>
        <v>4.7551862883419551E-3</v>
      </c>
      <c r="J20" s="37">
        <f t="shared" si="1"/>
        <v>1.3481736949365105E-2</v>
      </c>
      <c r="K20" s="20">
        <f t="shared" si="2"/>
        <v>167</v>
      </c>
      <c r="L20" s="37">
        <f t="shared" si="3"/>
        <v>1.8351648351648351</v>
      </c>
      <c r="M20" s="51">
        <f t="shared" si="4"/>
        <v>2.9758011772400263E-2</v>
      </c>
      <c r="N20" s="37">
        <f t="shared" si="5"/>
        <v>7.9654214263661621E-2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  <row r="21" spans="1:32" x14ac:dyDescent="0.25">
      <c r="A21" s="19" t="s">
        <v>44</v>
      </c>
      <c r="B21" s="19" t="s">
        <v>45</v>
      </c>
      <c r="C21" s="19">
        <v>41799</v>
      </c>
      <c r="D21" s="19">
        <v>32724</v>
      </c>
      <c r="E21" s="19">
        <v>5358</v>
      </c>
      <c r="F21" s="19">
        <v>5514</v>
      </c>
      <c r="G21" s="19">
        <f>_xlfn.XLOOKUP(B21,Total!B:B,Total!H:H)</f>
        <v>294</v>
      </c>
      <c r="H21" s="19">
        <f>_xlfn.XLOOKUP(B21,Total!B:B,Total!AZ:AZ)</f>
        <v>487</v>
      </c>
      <c r="I21" s="36">
        <f t="shared" si="0"/>
        <v>8.9842317565089844E-3</v>
      </c>
      <c r="J21" s="36">
        <f t="shared" si="1"/>
        <v>1.4882043759931549E-2</v>
      </c>
      <c r="K21" s="19">
        <f t="shared" si="2"/>
        <v>193</v>
      </c>
      <c r="L21" s="36">
        <f t="shared" si="3"/>
        <v>0.65646258503401356</v>
      </c>
      <c r="M21" s="50">
        <f t="shared" si="4"/>
        <v>5.4871220604703244E-2</v>
      </c>
      <c r="N21" s="36">
        <f t="shared" si="5"/>
        <v>8.8320638375045335E-2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</row>
    <row r="22" spans="1:32" x14ac:dyDescent="0.25">
      <c r="A22" s="20" t="s">
        <v>32</v>
      </c>
      <c r="B22" s="20" t="s">
        <v>33</v>
      </c>
      <c r="C22" s="20">
        <v>45749</v>
      </c>
      <c r="D22" s="20">
        <v>36111</v>
      </c>
      <c r="E22" s="20">
        <v>5637</v>
      </c>
      <c r="F22" s="20">
        <v>5922</v>
      </c>
      <c r="G22" s="20">
        <f>_xlfn.XLOOKUP(B22,Total!B:B,Total!H:H)</f>
        <v>167</v>
      </c>
      <c r="H22" s="20">
        <f>_xlfn.XLOOKUP(B22,Total!B:B,Total!AZ:AZ)</f>
        <v>437</v>
      </c>
      <c r="I22" s="37">
        <f t="shared" si="0"/>
        <v>4.6246296142449673E-3</v>
      </c>
      <c r="J22" s="37">
        <f t="shared" si="1"/>
        <v>1.2101575697155991E-2</v>
      </c>
      <c r="K22" s="20">
        <f t="shared" si="2"/>
        <v>270</v>
      </c>
      <c r="L22" s="37">
        <f t="shared" si="3"/>
        <v>1.6167664670658684</v>
      </c>
      <c r="M22" s="51">
        <f t="shared" si="4"/>
        <v>2.9625687422387796E-2</v>
      </c>
      <c r="N22" s="37">
        <f t="shared" si="5"/>
        <v>7.3792637622424856E-2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</row>
    <row r="23" spans="1:32" x14ac:dyDescent="0.25">
      <c r="A23" s="19" t="s">
        <v>10</v>
      </c>
      <c r="B23" s="19" t="s">
        <v>11</v>
      </c>
      <c r="C23" s="19">
        <v>109255</v>
      </c>
      <c r="D23" s="19">
        <v>84228</v>
      </c>
      <c r="E23" s="19">
        <v>13031</v>
      </c>
      <c r="F23" s="19">
        <v>13576</v>
      </c>
      <c r="G23" s="19">
        <f>_xlfn.XLOOKUP(B23,Total!B:B,Total!H:H)</f>
        <v>662</v>
      </c>
      <c r="H23" s="19">
        <f>_xlfn.XLOOKUP(B23,Total!B:B,Total!AZ:AZ)</f>
        <v>1527</v>
      </c>
      <c r="I23" s="36">
        <f t="shared" si="0"/>
        <v>7.8596191290307253E-3</v>
      </c>
      <c r="J23" s="36">
        <f t="shared" si="1"/>
        <v>1.8129363157144893E-2</v>
      </c>
      <c r="K23" s="19">
        <f t="shared" si="2"/>
        <v>865</v>
      </c>
      <c r="L23" s="36">
        <f t="shared" si="3"/>
        <v>1.3066465256797584</v>
      </c>
      <c r="M23" s="50">
        <f t="shared" si="4"/>
        <v>5.0801933850049878E-2</v>
      </c>
      <c r="N23" s="36">
        <f t="shared" si="5"/>
        <v>0.11247790218031821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</row>
    <row r="24" spans="1:32" x14ac:dyDescent="0.25">
      <c r="A24" s="20" t="s">
        <v>26</v>
      </c>
      <c r="B24" s="20" t="s">
        <v>27</v>
      </c>
      <c r="C24" s="20">
        <v>55044</v>
      </c>
      <c r="D24" s="20">
        <v>41804</v>
      </c>
      <c r="E24" s="20">
        <v>5716</v>
      </c>
      <c r="F24" s="20">
        <v>5950</v>
      </c>
      <c r="G24" s="20">
        <f>_xlfn.XLOOKUP(B24,Total!B:B,Total!H:H)</f>
        <v>167</v>
      </c>
      <c r="H24" s="20">
        <f>_xlfn.XLOOKUP(B24,Total!B:B,Total!AZ:AZ)</f>
        <v>448</v>
      </c>
      <c r="I24" s="37">
        <f t="shared" si="0"/>
        <v>3.9948330303320257E-3</v>
      </c>
      <c r="J24" s="37">
        <f t="shared" si="1"/>
        <v>1.0716677829872739E-2</v>
      </c>
      <c r="K24" s="20">
        <f t="shared" si="2"/>
        <v>281</v>
      </c>
      <c r="L24" s="37">
        <f t="shared" si="3"/>
        <v>1.6826347305389222</v>
      </c>
      <c r="M24" s="51">
        <f t="shared" si="4"/>
        <v>2.9216235129461161E-2</v>
      </c>
      <c r="N24" s="37">
        <f t="shared" si="5"/>
        <v>7.5294117647058817E-2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 spans="1:32" x14ac:dyDescent="0.25">
      <c r="A25" s="19" t="s">
        <v>8</v>
      </c>
      <c r="B25" s="19" t="s">
        <v>9</v>
      </c>
      <c r="C25" s="19">
        <v>147246</v>
      </c>
      <c r="D25" s="19">
        <v>115421</v>
      </c>
      <c r="E25" s="19">
        <v>15388</v>
      </c>
      <c r="F25" s="19">
        <v>16152</v>
      </c>
      <c r="G25" s="19">
        <f>_xlfn.XLOOKUP(B25,Total!B:B,Total!H:H)</f>
        <v>640</v>
      </c>
      <c r="H25" s="19">
        <f>_xlfn.XLOOKUP(B25,Total!B:B,Total!AZ:AZ)</f>
        <v>1743</v>
      </c>
      <c r="I25" s="36">
        <f t="shared" si="0"/>
        <v>5.544918169137332E-3</v>
      </c>
      <c r="J25" s="36">
        <f t="shared" si="1"/>
        <v>1.5101238076259953E-2</v>
      </c>
      <c r="K25" s="19">
        <f t="shared" si="2"/>
        <v>1103</v>
      </c>
      <c r="L25" s="36">
        <f t="shared" si="3"/>
        <v>1.7234375</v>
      </c>
      <c r="M25" s="50">
        <f t="shared" si="4"/>
        <v>4.1590850012997144E-2</v>
      </c>
      <c r="N25" s="36">
        <f t="shared" si="5"/>
        <v>0.10791233283803864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spans="1:32" x14ac:dyDescent="0.25">
      <c r="A26" s="20" t="s">
        <v>16</v>
      </c>
      <c r="B26" s="20" t="s">
        <v>17</v>
      </c>
      <c r="C26" s="20">
        <v>78699</v>
      </c>
      <c r="D26" s="20">
        <v>62970</v>
      </c>
      <c r="E26" s="20">
        <v>8802</v>
      </c>
      <c r="F26" s="20">
        <v>8812</v>
      </c>
      <c r="G26" s="20">
        <f>_xlfn.XLOOKUP(B26,Total!B:B,Total!H:H)</f>
        <v>568</v>
      </c>
      <c r="H26" s="20">
        <f>_xlfn.XLOOKUP(B26,Total!B:B,Total!AZ:AZ)</f>
        <v>1178</v>
      </c>
      <c r="I26" s="37">
        <f t="shared" si="0"/>
        <v>9.0201683341273615E-3</v>
      </c>
      <c r="J26" s="37">
        <f t="shared" si="1"/>
        <v>1.8707320946482451E-2</v>
      </c>
      <c r="K26" s="20">
        <f t="shared" si="2"/>
        <v>610</v>
      </c>
      <c r="L26" s="37"/>
      <c r="M26" s="51">
        <f t="shared" si="4"/>
        <v>6.4530788457168822E-2</v>
      </c>
      <c r="N26" s="37">
        <f t="shared" si="5"/>
        <v>0.13368134362233319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 spans="1:32" x14ac:dyDescent="0.25">
      <c r="A27" s="19" t="s">
        <v>20</v>
      </c>
      <c r="B27" s="19" t="s">
        <v>21</v>
      </c>
      <c r="C27" s="19">
        <v>61528</v>
      </c>
      <c r="D27" s="19">
        <v>47591</v>
      </c>
      <c r="E27" s="19">
        <v>6269</v>
      </c>
      <c r="F27" s="19">
        <v>6504</v>
      </c>
      <c r="G27" s="19">
        <f>_xlfn.XLOOKUP(B27,Total!B:B,Total!H:H)</f>
        <v>323</v>
      </c>
      <c r="H27" s="19">
        <f>_xlfn.XLOOKUP(B27,Total!B:B,Total!AZ:AZ)</f>
        <v>828</v>
      </c>
      <c r="I27" s="36">
        <f t="shared" si="0"/>
        <v>6.7869975415519737E-3</v>
      </c>
      <c r="J27" s="36">
        <f t="shared" si="1"/>
        <v>1.7398247567817444E-2</v>
      </c>
      <c r="K27" s="19">
        <f t="shared" si="2"/>
        <v>505</v>
      </c>
      <c r="L27" s="36">
        <f>(H27-G27)/G27</f>
        <v>1.563467492260062</v>
      </c>
      <c r="M27" s="50">
        <f t="shared" si="4"/>
        <v>5.1523368958366567E-2</v>
      </c>
      <c r="N27" s="36">
        <f t="shared" si="5"/>
        <v>0.12730627306273062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</row>
    <row r="28" spans="1:32" x14ac:dyDescent="0.25">
      <c r="A28" s="20" t="s">
        <v>34</v>
      </c>
      <c r="B28" s="20" t="s">
        <v>35</v>
      </c>
      <c r="C28" s="20">
        <v>43888</v>
      </c>
      <c r="D28" s="20">
        <v>32516</v>
      </c>
      <c r="E28" s="20">
        <v>4147</v>
      </c>
      <c r="F28" s="20">
        <v>4413</v>
      </c>
      <c r="G28" s="20">
        <f>_xlfn.XLOOKUP(B28,Total!B:B,Total!H:H)</f>
        <v>201</v>
      </c>
      <c r="H28" s="20">
        <f>_xlfn.XLOOKUP(B28,Total!B:B,Total!AZ:AZ)</f>
        <v>448</v>
      </c>
      <c r="I28" s="37">
        <f t="shared" si="0"/>
        <v>6.1815721490958301E-3</v>
      </c>
      <c r="J28" s="37">
        <f t="shared" si="1"/>
        <v>1.3777832451716078E-2</v>
      </c>
      <c r="K28" s="20">
        <f t="shared" si="2"/>
        <v>247</v>
      </c>
      <c r="L28" s="37"/>
      <c r="M28" s="51">
        <f t="shared" si="4"/>
        <v>4.8468772606703639E-2</v>
      </c>
      <c r="N28" s="37">
        <f t="shared" si="5"/>
        <v>0.10151824155903014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</row>
    <row r="29" spans="1:32" x14ac:dyDescent="0.25">
      <c r="A29" s="19" t="s">
        <v>14</v>
      </c>
      <c r="B29" s="19" t="s">
        <v>15</v>
      </c>
      <c r="C29" s="19">
        <v>63949</v>
      </c>
      <c r="D29" s="19">
        <v>47439</v>
      </c>
      <c r="E29" s="19">
        <v>6061</v>
      </c>
      <c r="F29" s="19">
        <v>6301</v>
      </c>
      <c r="G29" s="19">
        <f>_xlfn.XLOOKUP(B29,Total!B:B,Total!H:H)</f>
        <v>367</v>
      </c>
      <c r="H29" s="19">
        <f>_xlfn.XLOOKUP(B29,Total!B:B,Total!AZ:AZ)</f>
        <v>782</v>
      </c>
      <c r="I29" s="36">
        <f t="shared" si="0"/>
        <v>7.7362507641392103E-3</v>
      </c>
      <c r="J29" s="36">
        <f t="shared" si="1"/>
        <v>1.6484327241299352E-2</v>
      </c>
      <c r="K29" s="19">
        <f t="shared" si="2"/>
        <v>415</v>
      </c>
      <c r="L29" s="36"/>
      <c r="M29" s="50">
        <f t="shared" si="4"/>
        <v>6.0551064180828243E-2</v>
      </c>
      <c r="N29" s="36">
        <f t="shared" si="5"/>
        <v>0.12410728455800667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</row>
    <row r="30" spans="1:32" x14ac:dyDescent="0.25">
      <c r="A30" s="20" t="s">
        <v>67</v>
      </c>
      <c r="B30" s="20" t="s">
        <v>68</v>
      </c>
      <c r="C30" s="20">
        <v>3385</v>
      </c>
      <c r="D30" s="20">
        <v>2940</v>
      </c>
      <c r="E30" s="20">
        <v>39</v>
      </c>
      <c r="F30" s="20">
        <v>184</v>
      </c>
      <c r="G30" s="20">
        <f>_xlfn.XLOOKUP(B30,Total!B:B,Total!H:H)</f>
        <v>0</v>
      </c>
      <c r="H30" s="20">
        <f>_xlfn.XLOOKUP(B30,Total!B:B,Total!AZ:AZ)</f>
        <v>5</v>
      </c>
      <c r="I30" s="37">
        <f t="shared" si="0"/>
        <v>0</v>
      </c>
      <c r="J30" s="37">
        <f t="shared" si="1"/>
        <v>1.7006802721088435E-3</v>
      </c>
      <c r="K30" s="20">
        <f t="shared" si="2"/>
        <v>5</v>
      </c>
      <c r="L30" s="37"/>
      <c r="M30" s="51">
        <f t="shared" si="4"/>
        <v>0</v>
      </c>
      <c r="N30" s="37">
        <f t="shared" si="5"/>
        <v>2.717391304347826E-2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 spans="1:32" x14ac:dyDescent="0.25">
      <c r="A31" s="19" t="s">
        <v>65</v>
      </c>
      <c r="B31" s="19" t="s">
        <v>66</v>
      </c>
      <c r="C31" s="19">
        <v>9485</v>
      </c>
      <c r="D31" s="19">
        <v>8435</v>
      </c>
      <c r="E31" s="19">
        <v>193</v>
      </c>
      <c r="F31" s="19">
        <v>389</v>
      </c>
      <c r="G31" s="19">
        <v>9.9999999999999995E-7</v>
      </c>
      <c r="H31" s="19">
        <f>_xlfn.XLOOKUP(B31,Total!B:B,Total!AZ:AZ)</f>
        <v>52</v>
      </c>
      <c r="I31" s="36">
        <f t="shared" si="0"/>
        <v>1.1855364552459988E-10</v>
      </c>
      <c r="J31" s="36">
        <f t="shared" si="1"/>
        <v>6.1647895672791936E-3</v>
      </c>
      <c r="K31" s="19">
        <f t="shared" si="2"/>
        <v>51.999999000000003</v>
      </c>
      <c r="L31" s="36"/>
      <c r="M31" s="50">
        <f t="shared" si="4"/>
        <v>5.1813471502590672E-9</v>
      </c>
      <c r="N31" s="36">
        <f t="shared" si="5"/>
        <v>0.13367609254498714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 spans="1:32" x14ac:dyDescent="0.25">
      <c r="A32" s="20" t="s">
        <v>52</v>
      </c>
      <c r="B32" s="20" t="s">
        <v>53</v>
      </c>
      <c r="C32" s="20">
        <v>24308</v>
      </c>
      <c r="D32" s="20">
        <v>18586</v>
      </c>
      <c r="E32" s="20">
        <v>0</v>
      </c>
      <c r="F32" s="20">
        <v>0</v>
      </c>
      <c r="G32" s="20">
        <f>_xlfn.XLOOKUP(B32,Total!B:B,Total!H:H)</f>
        <v>0</v>
      </c>
      <c r="H32" s="20">
        <f>_xlfn.XLOOKUP(B32,Total!B:B,Total!AZ:AZ)</f>
        <v>0</v>
      </c>
      <c r="I32" s="37">
        <f t="shared" si="0"/>
        <v>0</v>
      </c>
      <c r="J32" s="37">
        <f t="shared" si="1"/>
        <v>0</v>
      </c>
      <c r="K32" s="20">
        <f t="shared" si="2"/>
        <v>0</v>
      </c>
      <c r="L32" s="37"/>
      <c r="M32" s="51"/>
      <c r="N32" s="37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</row>
    <row r="33" spans="1:32" x14ac:dyDescent="0.25">
      <c r="A33" s="19" t="s">
        <v>52</v>
      </c>
      <c r="B33" s="19" t="s">
        <v>58</v>
      </c>
      <c r="C33" s="19">
        <v>28896</v>
      </c>
      <c r="D33" s="19">
        <v>23559</v>
      </c>
      <c r="E33" s="19">
        <v>0</v>
      </c>
      <c r="F33" s="19">
        <v>0</v>
      </c>
      <c r="G33" s="19">
        <f>_xlfn.XLOOKUP(B33,Total!B:B,Total!H:H)</f>
        <v>0</v>
      </c>
      <c r="H33" s="19">
        <f>_xlfn.XLOOKUP(B33,Total!B:B,Total!AZ:AZ)</f>
        <v>0</v>
      </c>
      <c r="I33" s="36">
        <f t="shared" si="0"/>
        <v>0</v>
      </c>
      <c r="J33" s="36">
        <f t="shared" si="1"/>
        <v>0</v>
      </c>
      <c r="K33" s="19">
        <f t="shared" si="2"/>
        <v>0</v>
      </c>
      <c r="L33" s="36"/>
      <c r="M33" s="50"/>
      <c r="N33" s="36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 spans="1:32" x14ac:dyDescent="0.25">
      <c r="A34" s="20" t="s">
        <v>52</v>
      </c>
      <c r="B34" s="20" t="s">
        <v>59</v>
      </c>
      <c r="C34" s="20">
        <v>5607</v>
      </c>
      <c r="D34" s="20">
        <v>4206</v>
      </c>
      <c r="E34" s="20">
        <v>0</v>
      </c>
      <c r="F34" s="20">
        <v>0</v>
      </c>
      <c r="G34" s="20">
        <f>_xlfn.XLOOKUP(B34,Total!B:B,Total!H:H)</f>
        <v>0</v>
      </c>
      <c r="H34" s="20">
        <f>_xlfn.XLOOKUP(B34,Total!B:B,Total!AZ:AZ)</f>
        <v>0</v>
      </c>
      <c r="I34" s="37">
        <f t="shared" si="0"/>
        <v>0</v>
      </c>
      <c r="J34" s="37">
        <f t="shared" si="1"/>
        <v>0</v>
      </c>
      <c r="K34" s="20">
        <f t="shared" si="2"/>
        <v>0</v>
      </c>
      <c r="L34" s="37"/>
      <c r="M34" s="51"/>
      <c r="N34" s="37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 spans="1:32" x14ac:dyDescent="0.25">
      <c r="A35" s="19" t="s">
        <v>52</v>
      </c>
      <c r="B35" s="19" t="s">
        <v>64</v>
      </c>
      <c r="C35" s="19">
        <v>3041</v>
      </c>
      <c r="D35" s="19">
        <v>2409</v>
      </c>
      <c r="E35" s="19">
        <v>0</v>
      </c>
      <c r="F35" s="19">
        <v>0</v>
      </c>
      <c r="G35" s="19">
        <f>_xlfn.XLOOKUP(B35,Total!B:B,Total!H:H)</f>
        <v>0</v>
      </c>
      <c r="H35" s="19">
        <f>_xlfn.XLOOKUP(B35,Total!B:B,Total!AZ:AZ)</f>
        <v>0</v>
      </c>
      <c r="I35" s="36">
        <f t="shared" si="0"/>
        <v>0</v>
      </c>
      <c r="J35" s="36">
        <f t="shared" si="1"/>
        <v>0</v>
      </c>
      <c r="K35" s="19">
        <f t="shared" si="2"/>
        <v>0</v>
      </c>
      <c r="L35" s="36"/>
      <c r="M35" s="50"/>
      <c r="N35" s="36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 spans="1:32" x14ac:dyDescent="0.25">
      <c r="A36" s="20" t="s">
        <v>52</v>
      </c>
      <c r="B36" s="20" t="s">
        <v>69</v>
      </c>
      <c r="C36" s="20">
        <v>4493</v>
      </c>
      <c r="D36" s="20">
        <v>3426</v>
      </c>
      <c r="E36" s="20">
        <v>0</v>
      </c>
      <c r="F36" s="20">
        <v>0</v>
      </c>
      <c r="G36" s="20">
        <f>_xlfn.XLOOKUP(B36,Total!B:B,Total!H:H)</f>
        <v>0</v>
      </c>
      <c r="H36" s="20">
        <f>_xlfn.XLOOKUP(B36,Total!B:B,Total!AZ:AZ)</f>
        <v>0</v>
      </c>
      <c r="I36" s="37">
        <f t="shared" si="0"/>
        <v>0</v>
      </c>
      <c r="J36" s="37">
        <f t="shared" si="1"/>
        <v>0</v>
      </c>
      <c r="K36" s="20">
        <f t="shared" si="2"/>
        <v>0</v>
      </c>
      <c r="L36" s="37"/>
      <c r="M36" s="51"/>
      <c r="N36" s="37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 spans="1:32" x14ac:dyDescent="0.25">
      <c r="A37" s="19" t="s">
        <v>52</v>
      </c>
      <c r="B37" s="19" t="s">
        <v>70</v>
      </c>
      <c r="C37" s="19">
        <v>3943</v>
      </c>
      <c r="D37" s="19">
        <v>3266</v>
      </c>
      <c r="E37" s="19">
        <v>0</v>
      </c>
      <c r="F37" s="19">
        <v>0</v>
      </c>
      <c r="G37" s="19">
        <f>_xlfn.XLOOKUP(B37,Total!B:B,Total!H:H)</f>
        <v>0</v>
      </c>
      <c r="H37" s="19">
        <f>_xlfn.XLOOKUP(B37,Total!B:B,Total!AZ:AZ)</f>
        <v>0</v>
      </c>
      <c r="I37" s="36">
        <f t="shared" si="0"/>
        <v>0</v>
      </c>
      <c r="J37" s="36">
        <f t="shared" si="1"/>
        <v>0</v>
      </c>
      <c r="K37" s="19">
        <f t="shared" si="2"/>
        <v>0</v>
      </c>
      <c r="L37" s="36"/>
      <c r="M37" s="50"/>
      <c r="N37" s="36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8" spans="1:32" x14ac:dyDescent="0.25">
      <c r="A38" s="20" t="s">
        <v>52</v>
      </c>
      <c r="B38" s="20" t="s">
        <v>71</v>
      </c>
      <c r="C38" s="20">
        <v>3240</v>
      </c>
      <c r="D38" s="20">
        <v>2762</v>
      </c>
      <c r="E38" s="20">
        <v>0</v>
      </c>
      <c r="F38" s="20">
        <v>0</v>
      </c>
      <c r="G38" s="20">
        <f>_xlfn.XLOOKUP(B38,Total!B:B,Total!H:H)</f>
        <v>0</v>
      </c>
      <c r="H38" s="20">
        <f>_xlfn.XLOOKUP(B38,Total!B:B,Total!AZ:AZ)</f>
        <v>0</v>
      </c>
      <c r="I38" s="37">
        <f t="shared" si="0"/>
        <v>0</v>
      </c>
      <c r="J38" s="37">
        <f t="shared" si="1"/>
        <v>0</v>
      </c>
      <c r="K38" s="20">
        <f t="shared" si="2"/>
        <v>0</v>
      </c>
      <c r="L38" s="37"/>
      <c r="M38" s="51"/>
      <c r="N38" s="37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</row>
    <row r="39" spans="1:32" x14ac:dyDescent="0.25">
      <c r="A39" s="19" t="s">
        <v>52</v>
      </c>
      <c r="B39" s="19" t="s">
        <v>72</v>
      </c>
      <c r="C39" s="19">
        <v>2867</v>
      </c>
      <c r="D39" s="19">
        <v>2490</v>
      </c>
      <c r="E39" s="19">
        <v>0</v>
      </c>
      <c r="F39" s="19">
        <v>0</v>
      </c>
      <c r="G39" s="19">
        <f>_xlfn.XLOOKUP(B39,Total!B:B,Total!H:H)</f>
        <v>0</v>
      </c>
      <c r="H39" s="19">
        <f>_xlfn.XLOOKUP(B39,Total!B:B,Total!AZ:AZ)</f>
        <v>0</v>
      </c>
      <c r="I39" s="36">
        <f t="shared" si="0"/>
        <v>0</v>
      </c>
      <c r="J39" s="36">
        <f t="shared" si="1"/>
        <v>0</v>
      </c>
      <c r="K39" s="19">
        <f t="shared" si="2"/>
        <v>0</v>
      </c>
      <c r="L39" s="36"/>
      <c r="M39" s="50"/>
      <c r="N39" s="36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</row>
    <row r="40" spans="1:32" x14ac:dyDescent="0.25">
      <c r="A40" s="20" t="s">
        <v>52</v>
      </c>
      <c r="B40" s="20" t="s">
        <v>73</v>
      </c>
      <c r="C40" s="20">
        <v>2481</v>
      </c>
      <c r="D40" s="20">
        <v>2078</v>
      </c>
      <c r="E40" s="20">
        <v>0</v>
      </c>
      <c r="F40" s="20">
        <v>0</v>
      </c>
      <c r="G40" s="20">
        <f>_xlfn.XLOOKUP(B40,Total!B:B,Total!H:H)</f>
        <v>0</v>
      </c>
      <c r="H40" s="20">
        <f>_xlfn.XLOOKUP(B40,Total!B:B,Total!AZ:AZ)</f>
        <v>0</v>
      </c>
      <c r="I40" s="37">
        <f t="shared" si="0"/>
        <v>0</v>
      </c>
      <c r="J40" s="37">
        <f t="shared" si="1"/>
        <v>0</v>
      </c>
      <c r="K40" s="20">
        <f t="shared" si="2"/>
        <v>0</v>
      </c>
      <c r="L40" s="37"/>
      <c r="M40" s="51"/>
      <c r="N40" s="37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2" ht="15.75" x14ac:dyDescent="0.25">
      <c r="A41" s="22"/>
      <c r="B41" s="22" t="s">
        <v>74</v>
      </c>
      <c r="C41" s="22">
        <f t="shared" ref="C41:H41" si="6">SUM(C3:C40)</f>
        <v>1602515</v>
      </c>
      <c r="D41" s="22">
        <f t="shared" si="6"/>
        <v>1252619</v>
      </c>
      <c r="E41" s="22">
        <f t="shared" si="6"/>
        <v>231116</v>
      </c>
      <c r="F41" s="22">
        <f t="shared" si="6"/>
        <v>240157</v>
      </c>
      <c r="G41" s="22">
        <f t="shared" si="6"/>
        <v>13791.000001</v>
      </c>
      <c r="H41" s="22">
        <f t="shared" si="6"/>
        <v>30615</v>
      </c>
      <c r="I41" s="45">
        <f t="shared" si="0"/>
        <v>1.1009732409455708E-2</v>
      </c>
      <c r="J41" s="45">
        <f t="shared" si="1"/>
        <v>2.4440791653327947E-2</v>
      </c>
      <c r="K41" s="22">
        <f>SUM(K1:K40)</f>
        <v>16823.999999</v>
      </c>
      <c r="L41" s="26">
        <f>(H41-G41)/G41</f>
        <v>1.2199260385599358</v>
      </c>
      <c r="M41" s="72">
        <f>G41/E41</f>
        <v>5.9671333879956386E-2</v>
      </c>
      <c r="N41" s="38">
        <f>H41/F41</f>
        <v>0.12747910741723123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spans="1:32" ht="15.75" x14ac:dyDescent="0.25"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51" spans="3:32" x14ac:dyDescent="0.25">
      <c r="C51" s="8"/>
      <c r="D51" s="8"/>
      <c r="E51" s="8"/>
      <c r="F51" s="8"/>
      <c r="G51" s="8"/>
      <c r="H51" s="8"/>
      <c r="I51" s="8"/>
      <c r="J51" s="8"/>
      <c r="K51" s="43"/>
      <c r="L51" s="8"/>
      <c r="M51" s="13"/>
      <c r="N51" s="16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3:32" x14ac:dyDescent="0.25">
      <c r="C52" s="8"/>
      <c r="D52" s="8"/>
      <c r="E52" s="8"/>
      <c r="F52" s="8"/>
      <c r="G52" s="8"/>
      <c r="H52" s="8"/>
      <c r="I52" s="8"/>
      <c r="J52" s="8"/>
      <c r="K52" s="43"/>
      <c r="L52" s="8"/>
      <c r="M52" s="13"/>
      <c r="N52" s="16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</sheetData>
  <autoFilter ref="A2:AF2" xr:uid="{1B2E81FE-C549-41FA-ADF8-4795A1C1312E}">
    <sortState xmlns:xlrd2="http://schemas.microsoft.com/office/spreadsheetml/2017/richdata2" ref="A3:AF41">
      <sortCondition descending="1" ref="J2"/>
    </sortState>
  </autoFilter>
  <conditionalFormatting sqref="I3:I41">
    <cfRule type="cellIs" dxfId="92" priority="13" operator="lessThan">
      <formula>$I$40</formula>
    </cfRule>
    <cfRule type="cellIs" dxfId="91" priority="15" operator="lessThan">
      <formula>0.18</formula>
    </cfRule>
  </conditionalFormatting>
  <conditionalFormatting sqref="J3:J40">
    <cfRule type="cellIs" dxfId="90" priority="12" operator="lessThan">
      <formula>$J$40</formula>
    </cfRule>
    <cfRule type="cellIs" dxfId="89" priority="14" operator="lessThan">
      <formula>0.22</formula>
    </cfRule>
  </conditionalFormatting>
  <conditionalFormatting sqref="J41">
    <cfRule type="cellIs" dxfId="88" priority="9" operator="lessThan">
      <formula>$I$40</formula>
    </cfRule>
    <cfRule type="cellIs" dxfId="87" priority="10" operator="lessThan">
      <formula>0.18</formula>
    </cfRule>
  </conditionalFormatting>
  <conditionalFormatting sqref="L3:L40">
    <cfRule type="cellIs" dxfId="86" priority="11" operator="lessThan">
      <formula>$L$40</formula>
    </cfRule>
  </conditionalFormatting>
  <conditionalFormatting sqref="M3:M40">
    <cfRule type="cellIs" dxfId="85" priority="2" operator="lessThan">
      <formula>$M$41</formula>
    </cfRule>
  </conditionalFormatting>
  <conditionalFormatting sqref="M3:N40">
    <cfRule type="cellIs" dxfId="84" priority="3" operator="lessThan">
      <formula>$I$41</formula>
    </cfRule>
  </conditionalFormatting>
  <conditionalFormatting sqref="N3:N40">
    <cfRule type="cellIs" dxfId="83" priority="1" operator="lessThan">
      <formula>$N$41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168CF-4C61-4344-9FCA-C393EC5C6D2E}">
  <sheetPr>
    <tabColor rgb="FFFF0000"/>
  </sheetPr>
  <dimension ref="A1:AF52"/>
  <sheetViews>
    <sheetView showGridLines="0" zoomScale="85" zoomScaleNormal="85" workbookViewId="0">
      <pane xSplit="2" ySplit="2" topLeftCell="C3" activePane="bottomRight" state="frozen"/>
      <selection activeCell="K18" sqref="K18"/>
      <selection pane="topRight" activeCell="K18" sqref="K18"/>
      <selection pane="bottomLeft" activeCell="K18" sqref="K18"/>
      <selection pane="bottomRight" activeCell="K40" sqref="K40"/>
    </sheetView>
  </sheetViews>
  <sheetFormatPr defaultRowHeight="15" x14ac:dyDescent="0.25"/>
  <cols>
    <col min="1" max="2" width="19.28515625" style="7" customWidth="1"/>
    <col min="3" max="4" width="12.140625" style="7" bestFit="1" customWidth="1"/>
    <col min="5" max="5" width="12.140625" style="7" customWidth="1"/>
    <col min="6" max="8" width="21.5703125" style="7" bestFit="1" customWidth="1"/>
    <col min="9" max="9" width="23.140625" style="7" hidden="1" customWidth="1"/>
    <col min="10" max="10" width="26.7109375" style="7" hidden="1" customWidth="1"/>
    <col min="11" max="11" width="26.7109375" style="42" customWidth="1"/>
    <col min="12" max="13" width="24.5703125" style="17" customWidth="1"/>
    <col min="14" max="14" width="21.5703125" style="12" bestFit="1" customWidth="1"/>
    <col min="15" max="32" width="15.140625" style="7" bestFit="1" customWidth="1"/>
  </cols>
  <sheetData>
    <row r="1" spans="1:32" ht="18.75" x14ac:dyDescent="0.3">
      <c r="A1" s="10"/>
      <c r="B1" s="10"/>
      <c r="C1" s="11"/>
      <c r="D1" s="11"/>
      <c r="E1" s="11"/>
      <c r="F1" s="11"/>
      <c r="G1" s="64">
        <v>2025</v>
      </c>
      <c r="H1" s="64">
        <v>2026</v>
      </c>
      <c r="I1" s="59" t="s">
        <v>79</v>
      </c>
      <c r="J1" s="59"/>
      <c r="K1" s="66"/>
      <c r="L1" s="67"/>
      <c r="M1" s="67"/>
      <c r="N1" s="7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8.7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98</v>
      </c>
      <c r="F2" s="3" t="s">
        <v>94</v>
      </c>
      <c r="G2" s="3" t="s">
        <v>114</v>
      </c>
      <c r="H2" s="3" t="s">
        <v>114</v>
      </c>
      <c r="I2" s="9" t="s">
        <v>103</v>
      </c>
      <c r="J2" s="9" t="s">
        <v>103</v>
      </c>
      <c r="K2" s="41" t="s">
        <v>128</v>
      </c>
      <c r="L2" s="63" t="s">
        <v>127</v>
      </c>
      <c r="M2" s="63" t="s">
        <v>104</v>
      </c>
      <c r="N2" s="71" t="s">
        <v>105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s="19" t="s">
        <v>56</v>
      </c>
      <c r="B3" s="19" t="s">
        <v>57</v>
      </c>
      <c r="C3" s="19">
        <v>7920</v>
      </c>
      <c r="D3" s="19">
        <v>6833</v>
      </c>
      <c r="E3" s="19">
        <v>9307</v>
      </c>
      <c r="F3" s="19">
        <v>9261</v>
      </c>
      <c r="G3" s="19">
        <f>_xlfn.XLOOKUP(B3,Total!B:B,Total!J:J)</f>
        <v>104</v>
      </c>
      <c r="H3" s="19">
        <f>_xlfn.XLOOKUP(B3,Total!B:B,Total!BB:BB)</f>
        <v>89</v>
      </c>
      <c r="I3" s="36">
        <f t="shared" ref="I3:I41" si="0">G3/D3</f>
        <v>1.5220254646568124E-2</v>
      </c>
      <c r="J3" s="36">
        <f t="shared" ref="J3:J41" si="1">H3/D3</f>
        <v>1.3025025611005416E-2</v>
      </c>
      <c r="K3" s="19">
        <f t="shared" ref="K3:K40" si="2">H3-G3</f>
        <v>-15</v>
      </c>
      <c r="L3" s="36">
        <f>K3/G3</f>
        <v>-0.14423076923076922</v>
      </c>
      <c r="M3" s="36">
        <f t="shared" ref="M3:M31" si="3">G3/E3</f>
        <v>1.117438487160202E-2</v>
      </c>
      <c r="N3" s="50">
        <f>H3/F3</f>
        <v>9.610193283662671E-3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 spans="1:32" x14ac:dyDescent="0.25">
      <c r="A4" s="20" t="s">
        <v>60</v>
      </c>
      <c r="B4" s="20" t="s">
        <v>61</v>
      </c>
      <c r="C4" s="20">
        <v>8533</v>
      </c>
      <c r="D4" s="20">
        <v>6447</v>
      </c>
      <c r="E4" s="20">
        <v>3155</v>
      </c>
      <c r="F4" s="20">
        <v>3424</v>
      </c>
      <c r="G4" s="20">
        <f>_xlfn.XLOOKUP(B4,Total!B:B,Total!J:J)</f>
        <v>91</v>
      </c>
      <c r="H4" s="20">
        <f>_xlfn.XLOOKUP(B4,Total!B:B,Total!BB:BB)</f>
        <v>93</v>
      </c>
      <c r="I4" s="37">
        <f t="shared" si="0"/>
        <v>1.4115092290988056E-2</v>
      </c>
      <c r="J4" s="37">
        <f t="shared" si="1"/>
        <v>1.4425314099581201E-2</v>
      </c>
      <c r="K4" s="20">
        <f t="shared" si="2"/>
        <v>2</v>
      </c>
      <c r="L4" s="37">
        <f t="shared" ref="L4:L25" si="4">(H4-G4)/G4</f>
        <v>2.197802197802198E-2</v>
      </c>
      <c r="M4" s="37">
        <f t="shared" si="3"/>
        <v>2.8843106180665611E-2</v>
      </c>
      <c r="N4" s="51">
        <f t="shared" ref="N4:N31" si="5">H4/F4</f>
        <v>2.7161214953271028E-2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x14ac:dyDescent="0.25">
      <c r="A5" s="19" t="s">
        <v>62</v>
      </c>
      <c r="B5" s="19" t="s">
        <v>63</v>
      </c>
      <c r="C5" s="19">
        <v>10771</v>
      </c>
      <c r="D5" s="19">
        <v>9026</v>
      </c>
      <c r="E5" s="19">
        <v>2881</v>
      </c>
      <c r="F5" s="19">
        <v>2976</v>
      </c>
      <c r="G5" s="19">
        <f>_xlfn.XLOOKUP(B5,Total!B:B,Total!J:J)</f>
        <v>68</v>
      </c>
      <c r="H5" s="19">
        <f>_xlfn.XLOOKUP(B5,Total!B:B,Total!BB:BB)</f>
        <v>71</v>
      </c>
      <c r="I5" s="36">
        <f t="shared" si="0"/>
        <v>7.5337912696654113E-3</v>
      </c>
      <c r="J5" s="36">
        <f t="shared" si="1"/>
        <v>7.8661644139153553E-3</v>
      </c>
      <c r="K5" s="19">
        <f t="shared" si="2"/>
        <v>3</v>
      </c>
      <c r="L5" s="36">
        <f t="shared" si="4"/>
        <v>4.4117647058823532E-2</v>
      </c>
      <c r="M5" s="36">
        <f t="shared" si="3"/>
        <v>2.3602915654286707E-2</v>
      </c>
      <c r="N5" s="50">
        <f t="shared" si="5"/>
        <v>2.385752688172043E-2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</row>
    <row r="6" spans="1:32" x14ac:dyDescent="0.25">
      <c r="A6" s="20" t="s">
        <v>48</v>
      </c>
      <c r="B6" s="20" t="s">
        <v>49</v>
      </c>
      <c r="C6" s="20">
        <v>27775</v>
      </c>
      <c r="D6" s="20">
        <v>22138</v>
      </c>
      <c r="E6" s="20">
        <v>7374</v>
      </c>
      <c r="F6" s="20">
        <v>7529</v>
      </c>
      <c r="G6" s="20">
        <f>_xlfn.XLOOKUP(B6,Total!B:B,Total!J:J)</f>
        <v>119</v>
      </c>
      <c r="H6" s="20">
        <f>_xlfn.XLOOKUP(B6,Total!B:B,Total!BB:BB)</f>
        <v>123</v>
      </c>
      <c r="I6" s="37">
        <f t="shared" si="0"/>
        <v>5.37537266239046E-3</v>
      </c>
      <c r="J6" s="37">
        <f t="shared" si="1"/>
        <v>5.5560574577649289E-3</v>
      </c>
      <c r="K6" s="20">
        <f t="shared" si="2"/>
        <v>4</v>
      </c>
      <c r="L6" s="37">
        <f t="shared" si="4"/>
        <v>3.3613445378151259E-2</v>
      </c>
      <c r="M6" s="37">
        <f t="shared" si="3"/>
        <v>1.6137781394087333E-2</v>
      </c>
      <c r="N6" s="51">
        <f t="shared" si="5"/>
        <v>1.6336830920440963E-2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7" spans="1:32" x14ac:dyDescent="0.25">
      <c r="A7" s="19" t="s">
        <v>6</v>
      </c>
      <c r="B7" s="19" t="s">
        <v>7</v>
      </c>
      <c r="C7" s="19">
        <v>227466</v>
      </c>
      <c r="D7" s="19">
        <v>177302</v>
      </c>
      <c r="E7" s="19">
        <v>45420</v>
      </c>
      <c r="F7" s="19">
        <v>47635</v>
      </c>
      <c r="G7" s="19">
        <f>_xlfn.XLOOKUP(B7,Total!B:B,Total!J:J)</f>
        <v>3305</v>
      </c>
      <c r="H7" s="19">
        <f>_xlfn.XLOOKUP(B7,Total!B:B,Total!BB:BB)</f>
        <v>3386</v>
      </c>
      <c r="I7" s="36">
        <f t="shared" si="0"/>
        <v>1.8640511669355112E-2</v>
      </c>
      <c r="J7" s="36">
        <f t="shared" si="1"/>
        <v>1.9097359307847627E-2</v>
      </c>
      <c r="K7" s="19">
        <f t="shared" si="2"/>
        <v>81</v>
      </c>
      <c r="L7" s="36">
        <f t="shared" si="4"/>
        <v>2.4508320726172466E-2</v>
      </c>
      <c r="M7" s="36">
        <f t="shared" si="3"/>
        <v>7.2765301629238222E-2</v>
      </c>
      <c r="N7" s="50">
        <f t="shared" si="5"/>
        <v>7.1082187467198493E-2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spans="1:32" x14ac:dyDescent="0.25">
      <c r="A8" s="20" t="s">
        <v>50</v>
      </c>
      <c r="B8" s="20" t="s">
        <v>51</v>
      </c>
      <c r="C8" s="20">
        <v>27716</v>
      </c>
      <c r="D8" s="20">
        <v>21269</v>
      </c>
      <c r="E8" s="20">
        <v>5730</v>
      </c>
      <c r="F8" s="20">
        <v>5947</v>
      </c>
      <c r="G8" s="20">
        <f>_xlfn.XLOOKUP(B8,Total!B:B,Total!J:J)</f>
        <v>148</v>
      </c>
      <c r="H8" s="20">
        <f>_xlfn.XLOOKUP(B8,Total!B:B,Total!BB:BB)</f>
        <v>145</v>
      </c>
      <c r="I8" s="37">
        <f t="shared" si="0"/>
        <v>6.95848417885185E-3</v>
      </c>
      <c r="J8" s="37">
        <f t="shared" si="1"/>
        <v>6.8174338238751239E-3</v>
      </c>
      <c r="K8" s="20">
        <f t="shared" si="2"/>
        <v>-3</v>
      </c>
      <c r="L8" s="37">
        <f t="shared" si="4"/>
        <v>-2.0270270270270271E-2</v>
      </c>
      <c r="M8" s="37">
        <f t="shared" si="3"/>
        <v>2.5828970331588132E-2</v>
      </c>
      <c r="N8" s="51">
        <f t="shared" si="5"/>
        <v>2.4382041365394316E-2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2" x14ac:dyDescent="0.25">
      <c r="A9" s="19" t="s">
        <v>22</v>
      </c>
      <c r="B9" s="19" t="s">
        <v>23</v>
      </c>
      <c r="C9" s="19">
        <v>48079</v>
      </c>
      <c r="D9" s="19">
        <v>36276</v>
      </c>
      <c r="E9" s="19">
        <v>8493</v>
      </c>
      <c r="F9" s="19">
        <v>8808</v>
      </c>
      <c r="G9" s="19">
        <f>_xlfn.XLOOKUP(B9,Total!B:B,Total!J:J)</f>
        <v>350</v>
      </c>
      <c r="H9" s="19">
        <f>_xlfn.XLOOKUP(B9,Total!B:B,Total!BB:BB)</f>
        <v>331</v>
      </c>
      <c r="I9" s="36">
        <f t="shared" si="0"/>
        <v>9.6482522880141138E-3</v>
      </c>
      <c r="J9" s="36">
        <f t="shared" si="1"/>
        <v>9.1244900209504903E-3</v>
      </c>
      <c r="K9" s="19">
        <f t="shared" si="2"/>
        <v>-19</v>
      </c>
      <c r="L9" s="36">
        <f t="shared" si="4"/>
        <v>-5.4285714285714284E-2</v>
      </c>
      <c r="M9" s="36">
        <f t="shared" si="3"/>
        <v>4.121040857176498E-2</v>
      </c>
      <c r="N9" s="50">
        <f t="shared" si="5"/>
        <v>3.7579473206176203E-2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</row>
    <row r="10" spans="1:32" x14ac:dyDescent="0.25">
      <c r="A10" s="20" t="s">
        <v>30</v>
      </c>
      <c r="B10" s="20" t="s">
        <v>31</v>
      </c>
      <c r="C10" s="20">
        <v>18486</v>
      </c>
      <c r="D10" s="20">
        <v>14806</v>
      </c>
      <c r="E10" s="20">
        <v>3610</v>
      </c>
      <c r="F10" s="20">
        <v>3691</v>
      </c>
      <c r="G10" s="20">
        <f>_xlfn.XLOOKUP(B10,Total!B:B,Total!J:J)</f>
        <v>17</v>
      </c>
      <c r="H10" s="20">
        <f>_xlfn.XLOOKUP(B10,Total!B:B,Total!BB:BB)</f>
        <v>15</v>
      </c>
      <c r="I10" s="37">
        <f t="shared" si="0"/>
        <v>1.1481831689855464E-3</v>
      </c>
      <c r="J10" s="37">
        <f t="shared" si="1"/>
        <v>1.0131027961637175E-3</v>
      </c>
      <c r="K10" s="20">
        <f t="shared" si="2"/>
        <v>-2</v>
      </c>
      <c r="L10" s="37">
        <f t="shared" si="4"/>
        <v>-0.11764705882352941</v>
      </c>
      <c r="M10" s="37">
        <f t="shared" si="3"/>
        <v>4.7091412742382268E-3</v>
      </c>
      <c r="N10" s="51">
        <f t="shared" si="5"/>
        <v>4.0639393118396096E-3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1:32" x14ac:dyDescent="0.25">
      <c r="A11" s="19" t="s">
        <v>18</v>
      </c>
      <c r="B11" s="19" t="s">
        <v>19</v>
      </c>
      <c r="C11" s="19">
        <v>64742</v>
      </c>
      <c r="D11" s="19">
        <v>50171</v>
      </c>
      <c r="E11" s="19">
        <v>11839</v>
      </c>
      <c r="F11" s="19">
        <v>11901</v>
      </c>
      <c r="G11" s="19">
        <f>_xlfn.XLOOKUP(B11,Total!B:B,Total!J:J)</f>
        <v>452</v>
      </c>
      <c r="H11" s="19">
        <f>_xlfn.XLOOKUP(B11,Total!B:B,Total!BB:BB)</f>
        <v>482</v>
      </c>
      <c r="I11" s="36">
        <f t="shared" si="0"/>
        <v>9.009188575073249E-3</v>
      </c>
      <c r="J11" s="36">
        <f t="shared" si="1"/>
        <v>9.6071435689940397E-3</v>
      </c>
      <c r="K11" s="19">
        <f t="shared" si="2"/>
        <v>30</v>
      </c>
      <c r="L11" s="36">
        <f t="shared" si="4"/>
        <v>6.637168141592921E-2</v>
      </c>
      <c r="M11" s="36">
        <f t="shared" si="3"/>
        <v>3.8178900244953122E-2</v>
      </c>
      <c r="N11" s="50">
        <f t="shared" si="5"/>
        <v>4.0500798252247713E-2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 spans="1:32" x14ac:dyDescent="0.25">
      <c r="A12" s="20" t="s">
        <v>46</v>
      </c>
      <c r="B12" s="20" t="s">
        <v>47</v>
      </c>
      <c r="C12" s="20">
        <v>22815</v>
      </c>
      <c r="D12" s="20">
        <v>17367</v>
      </c>
      <c r="E12" s="20">
        <v>3945</v>
      </c>
      <c r="F12" s="20">
        <v>4126</v>
      </c>
      <c r="G12" s="20">
        <f>_xlfn.XLOOKUP(B12,Total!B:B,Total!J:J)</f>
        <v>90</v>
      </c>
      <c r="H12" s="20">
        <f>_xlfn.XLOOKUP(B12,Total!B:B,Total!BB:BB)</f>
        <v>94</v>
      </c>
      <c r="I12" s="37">
        <f t="shared" si="0"/>
        <v>5.1822421834513731E-3</v>
      </c>
      <c r="J12" s="37">
        <f t="shared" si="1"/>
        <v>5.4125640582714345E-3</v>
      </c>
      <c r="K12" s="20">
        <f t="shared" si="2"/>
        <v>4</v>
      </c>
      <c r="L12" s="37">
        <f t="shared" si="4"/>
        <v>4.4444444444444446E-2</v>
      </c>
      <c r="M12" s="37">
        <f t="shared" si="3"/>
        <v>2.2813688212927757E-2</v>
      </c>
      <c r="N12" s="51">
        <f t="shared" si="5"/>
        <v>2.2782355792535142E-2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</row>
    <row r="13" spans="1:32" x14ac:dyDescent="0.25">
      <c r="A13" s="19" t="s">
        <v>12</v>
      </c>
      <c r="B13" s="19" t="s">
        <v>13</v>
      </c>
      <c r="C13" s="19">
        <v>82745</v>
      </c>
      <c r="D13" s="19">
        <v>65980</v>
      </c>
      <c r="E13" s="19">
        <v>14551</v>
      </c>
      <c r="F13" s="19">
        <v>15027</v>
      </c>
      <c r="G13" s="19">
        <f>_xlfn.XLOOKUP(B13,Total!B:B,Total!J:J)</f>
        <v>441</v>
      </c>
      <c r="H13" s="19">
        <f>_xlfn.XLOOKUP(B13,Total!B:B,Total!BB:BB)</f>
        <v>434</v>
      </c>
      <c r="I13" s="36">
        <f t="shared" si="0"/>
        <v>6.6838435889663532E-3</v>
      </c>
      <c r="J13" s="36">
        <f t="shared" si="1"/>
        <v>6.5777508335859349E-3</v>
      </c>
      <c r="K13" s="19">
        <f t="shared" si="2"/>
        <v>-7</v>
      </c>
      <c r="L13" s="36">
        <f t="shared" si="4"/>
        <v>-1.5873015873015872E-2</v>
      </c>
      <c r="M13" s="36">
        <f t="shared" si="3"/>
        <v>3.0307195381760705E-2</v>
      </c>
      <c r="N13" s="50">
        <f t="shared" si="5"/>
        <v>2.8881346908897317E-2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 spans="1:32" x14ac:dyDescent="0.25">
      <c r="A14" s="20" t="s">
        <v>24</v>
      </c>
      <c r="B14" s="20" t="s">
        <v>25</v>
      </c>
      <c r="C14" s="20">
        <v>70975</v>
      </c>
      <c r="D14" s="20">
        <v>54812</v>
      </c>
      <c r="E14" s="20">
        <v>10092</v>
      </c>
      <c r="F14" s="20">
        <v>10670</v>
      </c>
      <c r="G14" s="20">
        <f>_xlfn.XLOOKUP(B14,Total!B:B,Total!J:J)</f>
        <v>252</v>
      </c>
      <c r="H14" s="20">
        <f>_xlfn.XLOOKUP(B14,Total!B:B,Total!BB:BB)</f>
        <v>243</v>
      </c>
      <c r="I14" s="37">
        <f t="shared" si="0"/>
        <v>4.5975333868495949E-3</v>
      </c>
      <c r="J14" s="37">
        <f t="shared" si="1"/>
        <v>4.4333357658906808E-3</v>
      </c>
      <c r="K14" s="20">
        <f t="shared" si="2"/>
        <v>-9</v>
      </c>
      <c r="L14" s="37">
        <f t="shared" si="4"/>
        <v>-3.5714285714285712E-2</v>
      </c>
      <c r="M14" s="37">
        <f t="shared" si="3"/>
        <v>2.4970273483947682E-2</v>
      </c>
      <c r="N14" s="51">
        <f t="shared" si="5"/>
        <v>2.2774133083411432E-2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</row>
    <row r="15" spans="1:32" x14ac:dyDescent="0.25">
      <c r="A15" s="19" t="s">
        <v>36</v>
      </c>
      <c r="B15" s="19" t="s">
        <v>37</v>
      </c>
      <c r="C15" s="19">
        <v>33008</v>
      </c>
      <c r="D15" s="19">
        <v>26385</v>
      </c>
      <c r="E15" s="19">
        <v>4844</v>
      </c>
      <c r="F15" s="19">
        <v>5105</v>
      </c>
      <c r="G15" s="19">
        <f>_xlfn.XLOOKUP(B15,Total!B:B,Total!J:J)</f>
        <v>102</v>
      </c>
      <c r="H15" s="19">
        <f>_xlfn.XLOOKUP(B15,Total!B:B,Total!BB:BB)</f>
        <v>105</v>
      </c>
      <c r="I15" s="36">
        <f t="shared" si="0"/>
        <v>3.8658328595793066E-3</v>
      </c>
      <c r="J15" s="36">
        <f t="shared" si="1"/>
        <v>3.9795338260375217E-3</v>
      </c>
      <c r="K15" s="19">
        <f t="shared" si="2"/>
        <v>3</v>
      </c>
      <c r="L15" s="36">
        <f t="shared" si="4"/>
        <v>2.9411764705882353E-2</v>
      </c>
      <c r="M15" s="36">
        <f t="shared" si="3"/>
        <v>2.1056977704376548E-2</v>
      </c>
      <c r="N15" s="50">
        <f t="shared" si="5"/>
        <v>2.0568070519098921E-2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</row>
    <row r="16" spans="1:32" x14ac:dyDescent="0.25">
      <c r="A16" s="20" t="s">
        <v>38</v>
      </c>
      <c r="B16" s="20" t="s">
        <v>39</v>
      </c>
      <c r="C16" s="20">
        <v>40664</v>
      </c>
      <c r="D16" s="20">
        <v>31671</v>
      </c>
      <c r="E16" s="20">
        <v>5790</v>
      </c>
      <c r="F16" s="20">
        <v>6091</v>
      </c>
      <c r="G16" s="20">
        <f>_xlfn.XLOOKUP(B16,Total!B:B,Total!J:J)</f>
        <v>139</v>
      </c>
      <c r="H16" s="20">
        <f>_xlfn.XLOOKUP(B16,Total!B:B,Total!BB:BB)</f>
        <v>147</v>
      </c>
      <c r="I16" s="37">
        <f t="shared" si="0"/>
        <v>4.3888731015755741E-3</v>
      </c>
      <c r="J16" s="37">
        <f t="shared" si="1"/>
        <v>4.6414701146158949E-3</v>
      </c>
      <c r="K16" s="20">
        <f t="shared" si="2"/>
        <v>8</v>
      </c>
      <c r="L16" s="37">
        <f t="shared" si="4"/>
        <v>5.7553956834532377E-2</v>
      </c>
      <c r="M16" s="37">
        <f t="shared" si="3"/>
        <v>2.4006908462867012E-2</v>
      </c>
      <c r="N16" s="51">
        <f t="shared" si="5"/>
        <v>2.413396814972911E-2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spans="1:32" x14ac:dyDescent="0.25">
      <c r="A17" s="19" t="s">
        <v>40</v>
      </c>
      <c r="B17" s="19" t="s">
        <v>41</v>
      </c>
      <c r="C17" s="19">
        <v>35566</v>
      </c>
      <c r="D17" s="19">
        <v>27813</v>
      </c>
      <c r="E17" s="19">
        <v>4960</v>
      </c>
      <c r="F17" s="19">
        <v>5153</v>
      </c>
      <c r="G17" s="19">
        <f>_xlfn.XLOOKUP(B17,Total!B:B,Total!J:J)</f>
        <v>152</v>
      </c>
      <c r="H17" s="19">
        <f>_xlfn.XLOOKUP(B17,Total!B:B,Total!BB:BB)</f>
        <v>160</v>
      </c>
      <c r="I17" s="36">
        <f t="shared" si="0"/>
        <v>5.4650702908711751E-3</v>
      </c>
      <c r="J17" s="36">
        <f t="shared" si="1"/>
        <v>5.7527055693380796E-3</v>
      </c>
      <c r="K17" s="19">
        <f t="shared" si="2"/>
        <v>8</v>
      </c>
      <c r="L17" s="36">
        <f t="shared" si="4"/>
        <v>5.2631578947368418E-2</v>
      </c>
      <c r="M17" s="36">
        <f t="shared" si="3"/>
        <v>3.0645161290322579E-2</v>
      </c>
      <c r="N17" s="50">
        <f t="shared" si="5"/>
        <v>3.1049873859887445E-2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</row>
    <row r="18" spans="1:32" x14ac:dyDescent="0.25">
      <c r="A18" s="20" t="s">
        <v>42</v>
      </c>
      <c r="B18" s="20" t="s">
        <v>43</v>
      </c>
      <c r="C18" s="20">
        <v>30503</v>
      </c>
      <c r="D18" s="20">
        <v>23708</v>
      </c>
      <c r="E18" s="20">
        <v>4235</v>
      </c>
      <c r="F18" s="20">
        <v>4322</v>
      </c>
      <c r="G18" s="20">
        <f>_xlfn.XLOOKUP(B18,Total!B:B,Total!J:J)</f>
        <v>142</v>
      </c>
      <c r="H18" s="20">
        <f>_xlfn.XLOOKUP(B18,Total!B:B,Total!BB:BB)</f>
        <v>139</v>
      </c>
      <c r="I18" s="37">
        <f t="shared" si="0"/>
        <v>5.9895393959844782E-3</v>
      </c>
      <c r="J18" s="37">
        <f t="shared" si="1"/>
        <v>5.8629998312805806E-3</v>
      </c>
      <c r="K18" s="20">
        <f t="shared" si="2"/>
        <v>-3</v>
      </c>
      <c r="L18" s="37">
        <f t="shared" si="4"/>
        <v>-2.1126760563380281E-2</v>
      </c>
      <c r="M18" s="37">
        <f t="shared" si="3"/>
        <v>3.3530106257378983E-2</v>
      </c>
      <c r="N18" s="51">
        <f t="shared" si="5"/>
        <v>3.2161036557149469E-2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 spans="1:32" x14ac:dyDescent="0.25">
      <c r="A19" s="19" t="s">
        <v>28</v>
      </c>
      <c r="B19" s="19" t="s">
        <v>29</v>
      </c>
      <c r="C19" s="19">
        <v>82980</v>
      </c>
      <c r="D19" s="19">
        <v>66517</v>
      </c>
      <c r="E19" s="19">
        <v>11191</v>
      </c>
      <c r="F19" s="19">
        <v>11535</v>
      </c>
      <c r="G19" s="19">
        <f>_xlfn.XLOOKUP(B19,Total!B:B,Total!J:J)</f>
        <v>591</v>
      </c>
      <c r="H19" s="19">
        <f>_xlfn.XLOOKUP(B19,Total!B:B,Total!BB:BB)</f>
        <v>670</v>
      </c>
      <c r="I19" s="36">
        <f t="shared" si="0"/>
        <v>8.8849467053535181E-3</v>
      </c>
      <c r="J19" s="36">
        <f t="shared" si="1"/>
        <v>1.0072613016221418E-2</v>
      </c>
      <c r="K19" s="19">
        <f t="shared" si="2"/>
        <v>79</v>
      </c>
      <c r="L19" s="36">
        <f t="shared" si="4"/>
        <v>0.13367174280879865</v>
      </c>
      <c r="M19" s="36">
        <f t="shared" si="3"/>
        <v>5.2810293986238939E-2</v>
      </c>
      <c r="N19" s="50">
        <f t="shared" si="5"/>
        <v>5.808409189423494E-2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spans="1:32" x14ac:dyDescent="0.25">
      <c r="A20" s="20" t="s">
        <v>54</v>
      </c>
      <c r="B20" s="20" t="s">
        <v>55</v>
      </c>
      <c r="C20" s="20">
        <v>22868</v>
      </c>
      <c r="D20" s="20">
        <v>19137</v>
      </c>
      <c r="E20" s="20">
        <v>3058</v>
      </c>
      <c r="F20" s="20">
        <v>3239</v>
      </c>
      <c r="G20" s="20">
        <f>_xlfn.XLOOKUP(B20,Total!B:B,Total!J:J)</f>
        <v>111</v>
      </c>
      <c r="H20" s="20">
        <f>_xlfn.XLOOKUP(B20,Total!B:B,Total!BB:BB)</f>
        <v>124</v>
      </c>
      <c r="I20" s="37">
        <f t="shared" si="0"/>
        <v>5.8002821758896383E-3</v>
      </c>
      <c r="J20" s="37">
        <f t="shared" si="1"/>
        <v>6.4795945027956315E-3</v>
      </c>
      <c r="K20" s="20">
        <f t="shared" si="2"/>
        <v>13</v>
      </c>
      <c r="L20" s="37">
        <f t="shared" si="4"/>
        <v>0.11711711711711711</v>
      </c>
      <c r="M20" s="37">
        <f t="shared" si="3"/>
        <v>3.6298234139960757E-2</v>
      </c>
      <c r="N20" s="51">
        <f t="shared" si="5"/>
        <v>3.8283420808891633E-2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  <row r="21" spans="1:32" x14ac:dyDescent="0.25">
      <c r="A21" s="19" t="s">
        <v>44</v>
      </c>
      <c r="B21" s="19" t="s">
        <v>45</v>
      </c>
      <c r="C21" s="19">
        <v>41799</v>
      </c>
      <c r="D21" s="19">
        <v>32724</v>
      </c>
      <c r="E21" s="19">
        <v>5358</v>
      </c>
      <c r="F21" s="19">
        <v>5514</v>
      </c>
      <c r="G21" s="19">
        <f>_xlfn.XLOOKUP(B21,Total!B:B,Total!J:J)</f>
        <v>145</v>
      </c>
      <c r="H21" s="19">
        <f>_xlfn.XLOOKUP(B21,Total!B:B,Total!BB:BB)</f>
        <v>154</v>
      </c>
      <c r="I21" s="36">
        <f t="shared" si="0"/>
        <v>4.4309986554210978E-3</v>
      </c>
      <c r="J21" s="36">
        <f t="shared" si="1"/>
        <v>4.706026158171373E-3</v>
      </c>
      <c r="K21" s="19">
        <f t="shared" si="2"/>
        <v>9</v>
      </c>
      <c r="L21" s="36">
        <f t="shared" si="4"/>
        <v>6.2068965517241378E-2</v>
      </c>
      <c r="M21" s="36">
        <f t="shared" si="3"/>
        <v>2.706233669279582E-2</v>
      </c>
      <c r="N21" s="50">
        <f t="shared" si="5"/>
        <v>2.7928908233587232E-2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</row>
    <row r="22" spans="1:32" x14ac:dyDescent="0.25">
      <c r="A22" s="20" t="s">
        <v>32</v>
      </c>
      <c r="B22" s="20" t="s">
        <v>33</v>
      </c>
      <c r="C22" s="20">
        <v>45749</v>
      </c>
      <c r="D22" s="20">
        <v>36111</v>
      </c>
      <c r="E22" s="20">
        <v>5637</v>
      </c>
      <c r="F22" s="20">
        <v>5922</v>
      </c>
      <c r="G22" s="20">
        <f>_xlfn.XLOOKUP(B22,Total!B:B,Total!J:J)</f>
        <v>162</v>
      </c>
      <c r="H22" s="20">
        <f>_xlfn.XLOOKUP(B22,Total!B:B,Total!BB:BB)</f>
        <v>158</v>
      </c>
      <c r="I22" s="37">
        <f t="shared" si="0"/>
        <v>4.4861676497466143E-3</v>
      </c>
      <c r="J22" s="37">
        <f t="shared" si="1"/>
        <v>4.3753980781479325E-3</v>
      </c>
      <c r="K22" s="20">
        <f t="shared" si="2"/>
        <v>-4</v>
      </c>
      <c r="L22" s="37">
        <f t="shared" si="4"/>
        <v>-2.4691358024691357E-2</v>
      </c>
      <c r="M22" s="37">
        <f t="shared" si="3"/>
        <v>2.8738690792974985E-2</v>
      </c>
      <c r="N22" s="51">
        <f t="shared" si="5"/>
        <v>2.6680175616345829E-2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</row>
    <row r="23" spans="1:32" x14ac:dyDescent="0.25">
      <c r="A23" s="19" t="s">
        <v>10</v>
      </c>
      <c r="B23" s="19" t="s">
        <v>11</v>
      </c>
      <c r="C23" s="19">
        <v>109255</v>
      </c>
      <c r="D23" s="19">
        <v>84228</v>
      </c>
      <c r="E23" s="19">
        <v>13031</v>
      </c>
      <c r="F23" s="19">
        <v>13576</v>
      </c>
      <c r="G23" s="19">
        <f>_xlfn.XLOOKUP(B23,Total!B:B,Total!J:J)</f>
        <v>478</v>
      </c>
      <c r="H23" s="19">
        <f>_xlfn.XLOOKUP(B23,Total!B:B,Total!BB:BB)</f>
        <v>538</v>
      </c>
      <c r="I23" s="36">
        <f t="shared" si="0"/>
        <v>5.6750724224723373E-3</v>
      </c>
      <c r="J23" s="36">
        <f t="shared" si="1"/>
        <v>6.3874246093935504E-3</v>
      </c>
      <c r="K23" s="19">
        <f t="shared" si="2"/>
        <v>60</v>
      </c>
      <c r="L23" s="36">
        <f t="shared" si="4"/>
        <v>0.12552301255230125</v>
      </c>
      <c r="M23" s="36">
        <f t="shared" si="3"/>
        <v>3.6681758882664416E-2</v>
      </c>
      <c r="N23" s="50">
        <f t="shared" si="5"/>
        <v>3.9628756629345903E-2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</row>
    <row r="24" spans="1:32" x14ac:dyDescent="0.25">
      <c r="A24" s="20" t="s">
        <v>26</v>
      </c>
      <c r="B24" s="20" t="s">
        <v>27</v>
      </c>
      <c r="C24" s="20">
        <v>55044</v>
      </c>
      <c r="D24" s="20">
        <v>41804</v>
      </c>
      <c r="E24" s="20">
        <v>5716</v>
      </c>
      <c r="F24" s="20">
        <v>5950</v>
      </c>
      <c r="G24" s="20">
        <f>_xlfn.XLOOKUP(B24,Total!B:B,Total!J:J)</f>
        <v>178</v>
      </c>
      <c r="H24" s="20">
        <f>_xlfn.XLOOKUP(B24,Total!B:B,Total!BB:BB)</f>
        <v>191</v>
      </c>
      <c r="I24" s="37">
        <f t="shared" si="0"/>
        <v>4.2579657449047939E-3</v>
      </c>
      <c r="J24" s="37">
        <f t="shared" si="1"/>
        <v>4.5689407712180656E-3</v>
      </c>
      <c r="K24" s="20">
        <f t="shared" si="2"/>
        <v>13</v>
      </c>
      <c r="L24" s="37">
        <f t="shared" si="4"/>
        <v>7.3033707865168537E-2</v>
      </c>
      <c r="M24" s="37">
        <f t="shared" si="3"/>
        <v>3.1140657802659202E-2</v>
      </c>
      <c r="N24" s="51">
        <f t="shared" si="5"/>
        <v>3.2100840336134452E-2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 spans="1:32" x14ac:dyDescent="0.25">
      <c r="A25" s="19" t="s">
        <v>8</v>
      </c>
      <c r="B25" s="19" t="s">
        <v>9</v>
      </c>
      <c r="C25" s="19">
        <v>147246</v>
      </c>
      <c r="D25" s="19">
        <v>115421</v>
      </c>
      <c r="E25" s="19">
        <v>15388</v>
      </c>
      <c r="F25" s="19">
        <v>16152</v>
      </c>
      <c r="G25" s="19">
        <f>_xlfn.XLOOKUP(B25,Total!B:B,Total!J:J)</f>
        <v>455</v>
      </c>
      <c r="H25" s="19">
        <f>_xlfn.XLOOKUP(B25,Total!B:B,Total!BB:BB)</f>
        <v>427</v>
      </c>
      <c r="I25" s="36">
        <f t="shared" si="0"/>
        <v>3.9420902608710718E-3</v>
      </c>
      <c r="J25" s="36">
        <f t="shared" si="1"/>
        <v>3.6995000909713139E-3</v>
      </c>
      <c r="K25" s="19">
        <f t="shared" si="2"/>
        <v>-28</v>
      </c>
      <c r="L25" s="36">
        <f t="shared" si="4"/>
        <v>-6.1538461538461542E-2</v>
      </c>
      <c r="M25" s="36">
        <f t="shared" si="3"/>
        <v>2.9568494931115154E-2</v>
      </c>
      <c r="N25" s="50">
        <f t="shared" si="5"/>
        <v>2.6436354631005448E-2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spans="1:32" x14ac:dyDescent="0.25">
      <c r="A26" s="20" t="s">
        <v>16</v>
      </c>
      <c r="B26" s="20" t="s">
        <v>17</v>
      </c>
      <c r="C26" s="20">
        <v>78699</v>
      </c>
      <c r="D26" s="20">
        <v>62970</v>
      </c>
      <c r="E26" s="20">
        <v>8802</v>
      </c>
      <c r="F26" s="20">
        <v>8812</v>
      </c>
      <c r="G26" s="20">
        <f>_xlfn.XLOOKUP(B26,Total!B:B,Total!J:J)</f>
        <v>503</v>
      </c>
      <c r="H26" s="20">
        <f>_xlfn.XLOOKUP(B26,Total!B:B,Total!BB:BB)</f>
        <v>447</v>
      </c>
      <c r="I26" s="37">
        <f t="shared" si="0"/>
        <v>7.9879307606796884E-3</v>
      </c>
      <c r="J26" s="37">
        <f t="shared" si="1"/>
        <v>7.0986183897093855E-3</v>
      </c>
      <c r="K26" s="20">
        <f t="shared" si="2"/>
        <v>-56</v>
      </c>
      <c r="L26" s="37"/>
      <c r="M26" s="37">
        <f t="shared" si="3"/>
        <v>5.7146103158373096E-2</v>
      </c>
      <c r="N26" s="51">
        <f t="shared" si="5"/>
        <v>5.0726282342260551E-2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 spans="1:32" x14ac:dyDescent="0.25">
      <c r="A27" s="19" t="s">
        <v>20</v>
      </c>
      <c r="B27" s="19" t="s">
        <v>21</v>
      </c>
      <c r="C27" s="19">
        <v>61528</v>
      </c>
      <c r="D27" s="19">
        <v>47591</v>
      </c>
      <c r="E27" s="19">
        <v>6269</v>
      </c>
      <c r="F27" s="19">
        <v>6504</v>
      </c>
      <c r="G27" s="19">
        <f>_xlfn.XLOOKUP(B27,Total!B:B,Total!J:J)</f>
        <v>170</v>
      </c>
      <c r="H27" s="19">
        <f>_xlfn.XLOOKUP(B27,Total!B:B,Total!BB:BB)</f>
        <v>180</v>
      </c>
      <c r="I27" s="36">
        <f t="shared" si="0"/>
        <v>3.572103969237881E-3</v>
      </c>
      <c r="J27" s="36">
        <f t="shared" si="1"/>
        <v>3.7822277321342269E-3</v>
      </c>
      <c r="K27" s="19">
        <f t="shared" si="2"/>
        <v>10</v>
      </c>
      <c r="L27" s="36">
        <f>(H27-G27)/G27</f>
        <v>5.8823529411764705E-2</v>
      </c>
      <c r="M27" s="36">
        <f t="shared" si="3"/>
        <v>2.7117562609666614E-2</v>
      </c>
      <c r="N27" s="50">
        <f t="shared" si="5"/>
        <v>2.7675276752767528E-2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</row>
    <row r="28" spans="1:32" x14ac:dyDescent="0.25">
      <c r="A28" s="20" t="s">
        <v>34</v>
      </c>
      <c r="B28" s="20" t="s">
        <v>35</v>
      </c>
      <c r="C28" s="20">
        <v>43888</v>
      </c>
      <c r="D28" s="20">
        <v>32516</v>
      </c>
      <c r="E28" s="20">
        <v>4147</v>
      </c>
      <c r="F28" s="20">
        <v>4413</v>
      </c>
      <c r="G28" s="20">
        <f>_xlfn.XLOOKUP(B28,Total!B:B,Total!J:J)</f>
        <v>156</v>
      </c>
      <c r="H28" s="20">
        <f>_xlfn.XLOOKUP(B28,Total!B:B,Total!BB:BB)</f>
        <v>148</v>
      </c>
      <c r="I28" s="37">
        <f t="shared" si="0"/>
        <v>4.7976380858654197E-3</v>
      </c>
      <c r="J28" s="37">
        <f t="shared" si="1"/>
        <v>4.5516053635133473E-3</v>
      </c>
      <c r="K28" s="20">
        <f t="shared" si="2"/>
        <v>-8</v>
      </c>
      <c r="L28" s="37"/>
      <c r="M28" s="37">
        <f t="shared" si="3"/>
        <v>3.7617554858934171E-2</v>
      </c>
      <c r="N28" s="51">
        <f t="shared" si="5"/>
        <v>3.3537276229322455E-2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</row>
    <row r="29" spans="1:32" x14ac:dyDescent="0.25">
      <c r="A29" s="19" t="s">
        <v>14</v>
      </c>
      <c r="B29" s="19" t="s">
        <v>15</v>
      </c>
      <c r="C29" s="19">
        <v>63949</v>
      </c>
      <c r="D29" s="19">
        <v>47439</v>
      </c>
      <c r="E29" s="19">
        <v>6061</v>
      </c>
      <c r="F29" s="19">
        <v>6301</v>
      </c>
      <c r="G29" s="19">
        <f>_xlfn.XLOOKUP(B29,Total!B:B,Total!J:J)</f>
        <v>256</v>
      </c>
      <c r="H29" s="19">
        <f>_xlfn.XLOOKUP(B29,Total!B:B,Total!BB:BB)</f>
        <v>287</v>
      </c>
      <c r="I29" s="36">
        <f t="shared" si="0"/>
        <v>5.3964038027783049E-3</v>
      </c>
      <c r="J29" s="36">
        <f t="shared" si="1"/>
        <v>6.0498745757709901E-3</v>
      </c>
      <c r="K29" s="19">
        <f t="shared" si="2"/>
        <v>31</v>
      </c>
      <c r="L29" s="36"/>
      <c r="M29" s="36">
        <f t="shared" si="3"/>
        <v>4.2237254578452399E-2</v>
      </c>
      <c r="N29" s="50">
        <f t="shared" si="5"/>
        <v>4.5548325662593238E-2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</row>
    <row r="30" spans="1:32" x14ac:dyDescent="0.25">
      <c r="A30" s="20" t="s">
        <v>67</v>
      </c>
      <c r="B30" s="20" t="s">
        <v>68</v>
      </c>
      <c r="C30" s="20">
        <v>3385</v>
      </c>
      <c r="D30" s="20">
        <v>2940</v>
      </c>
      <c r="E30" s="20">
        <v>39</v>
      </c>
      <c r="F30" s="20">
        <v>184</v>
      </c>
      <c r="G30" s="20">
        <f>_xlfn.XLOOKUP(B30,Total!B:B,Total!J:J)</f>
        <v>0</v>
      </c>
      <c r="H30" s="20">
        <f>_xlfn.XLOOKUP(B30,Total!B:B,Total!BB:BB)</f>
        <v>0</v>
      </c>
      <c r="I30" s="37">
        <f t="shared" si="0"/>
        <v>0</v>
      </c>
      <c r="J30" s="37">
        <f t="shared" si="1"/>
        <v>0</v>
      </c>
      <c r="K30" s="20">
        <f t="shared" si="2"/>
        <v>0</v>
      </c>
      <c r="L30" s="37"/>
      <c r="M30" s="37">
        <f t="shared" si="3"/>
        <v>0</v>
      </c>
      <c r="N30" s="51">
        <f t="shared" si="5"/>
        <v>0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 spans="1:32" x14ac:dyDescent="0.25">
      <c r="A31" s="19" t="s">
        <v>65</v>
      </c>
      <c r="B31" s="19" t="s">
        <v>66</v>
      </c>
      <c r="C31" s="19">
        <v>9485</v>
      </c>
      <c r="D31" s="19">
        <v>8435</v>
      </c>
      <c r="E31" s="19">
        <v>193</v>
      </c>
      <c r="F31" s="19">
        <v>389</v>
      </c>
      <c r="G31" s="19">
        <f>_xlfn.XLOOKUP(B31,Total!B:B,Total!J:J)</f>
        <v>0</v>
      </c>
      <c r="H31" s="19">
        <f>_xlfn.XLOOKUP(B31,Total!B:B,Total!BB:BB)</f>
        <v>0</v>
      </c>
      <c r="I31" s="36">
        <f t="shared" si="0"/>
        <v>0</v>
      </c>
      <c r="J31" s="36">
        <f t="shared" si="1"/>
        <v>0</v>
      </c>
      <c r="K31" s="19">
        <f t="shared" si="2"/>
        <v>0</v>
      </c>
      <c r="L31" s="36"/>
      <c r="M31" s="36">
        <f t="shared" si="3"/>
        <v>0</v>
      </c>
      <c r="N31" s="50">
        <f t="shared" si="5"/>
        <v>0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 spans="1:32" x14ac:dyDescent="0.25">
      <c r="A32" s="20" t="s">
        <v>52</v>
      </c>
      <c r="B32" s="20" t="s">
        <v>53</v>
      </c>
      <c r="C32" s="20">
        <v>24308</v>
      </c>
      <c r="D32" s="20">
        <v>18586</v>
      </c>
      <c r="E32" s="20">
        <v>0</v>
      </c>
      <c r="F32" s="20">
        <v>0</v>
      </c>
      <c r="G32" s="20">
        <f>_xlfn.XLOOKUP(B32,Total!B:B,Total!J:J)</f>
        <v>0</v>
      </c>
      <c r="H32" s="20">
        <f>_xlfn.XLOOKUP(B32,Total!B:B,Total!BB:BB)</f>
        <v>0</v>
      </c>
      <c r="I32" s="37">
        <f t="shared" si="0"/>
        <v>0</v>
      </c>
      <c r="J32" s="37">
        <f t="shared" si="1"/>
        <v>0</v>
      </c>
      <c r="K32" s="20">
        <f t="shared" si="2"/>
        <v>0</v>
      </c>
      <c r="L32" s="37"/>
      <c r="M32" s="37"/>
      <c r="N32" s="51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</row>
    <row r="33" spans="1:32" x14ac:dyDescent="0.25">
      <c r="A33" s="19" t="s">
        <v>52</v>
      </c>
      <c r="B33" s="19" t="s">
        <v>58</v>
      </c>
      <c r="C33" s="19">
        <v>28896</v>
      </c>
      <c r="D33" s="19">
        <v>23559</v>
      </c>
      <c r="E33" s="19">
        <v>0</v>
      </c>
      <c r="F33" s="19">
        <v>0</v>
      </c>
      <c r="G33" s="19">
        <f>_xlfn.XLOOKUP(B33,Total!B:B,Total!J:J)</f>
        <v>0</v>
      </c>
      <c r="H33" s="19">
        <f>_xlfn.XLOOKUP(B33,Total!B:B,Total!BB:BB)</f>
        <v>0</v>
      </c>
      <c r="I33" s="36">
        <f t="shared" si="0"/>
        <v>0</v>
      </c>
      <c r="J33" s="36">
        <f t="shared" si="1"/>
        <v>0</v>
      </c>
      <c r="K33" s="19">
        <f t="shared" si="2"/>
        <v>0</v>
      </c>
      <c r="L33" s="36"/>
      <c r="M33" s="36"/>
      <c r="N33" s="50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 spans="1:32" x14ac:dyDescent="0.25">
      <c r="A34" s="20" t="s">
        <v>52</v>
      </c>
      <c r="B34" s="20" t="s">
        <v>59</v>
      </c>
      <c r="C34" s="20">
        <v>5607</v>
      </c>
      <c r="D34" s="20">
        <v>4206</v>
      </c>
      <c r="E34" s="20">
        <v>0</v>
      </c>
      <c r="F34" s="20">
        <v>0</v>
      </c>
      <c r="G34" s="20">
        <f>_xlfn.XLOOKUP(B34,Total!B:B,Total!J:J)</f>
        <v>0</v>
      </c>
      <c r="H34" s="20">
        <f>_xlfn.XLOOKUP(B34,Total!B:B,Total!BB:BB)</f>
        <v>0</v>
      </c>
      <c r="I34" s="37">
        <f t="shared" si="0"/>
        <v>0</v>
      </c>
      <c r="J34" s="37">
        <f t="shared" si="1"/>
        <v>0</v>
      </c>
      <c r="K34" s="20">
        <f t="shared" si="2"/>
        <v>0</v>
      </c>
      <c r="L34" s="37"/>
      <c r="M34" s="37"/>
      <c r="N34" s="51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 spans="1:32" x14ac:dyDescent="0.25">
      <c r="A35" s="19" t="s">
        <v>52</v>
      </c>
      <c r="B35" s="19" t="s">
        <v>64</v>
      </c>
      <c r="C35" s="19">
        <v>3041</v>
      </c>
      <c r="D35" s="19">
        <v>2409</v>
      </c>
      <c r="E35" s="19">
        <v>0</v>
      </c>
      <c r="F35" s="19">
        <v>0</v>
      </c>
      <c r="G35" s="19">
        <f>_xlfn.XLOOKUP(B35,Total!B:B,Total!J:J)</f>
        <v>0</v>
      </c>
      <c r="H35" s="19">
        <f>_xlfn.XLOOKUP(B35,Total!B:B,Total!BB:BB)</f>
        <v>0</v>
      </c>
      <c r="I35" s="36">
        <f t="shared" si="0"/>
        <v>0</v>
      </c>
      <c r="J35" s="36">
        <f t="shared" si="1"/>
        <v>0</v>
      </c>
      <c r="K35" s="19">
        <f t="shared" si="2"/>
        <v>0</v>
      </c>
      <c r="L35" s="36"/>
      <c r="M35" s="36"/>
      <c r="N35" s="50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 spans="1:32" x14ac:dyDescent="0.25">
      <c r="A36" s="20" t="s">
        <v>52</v>
      </c>
      <c r="B36" s="20" t="s">
        <v>69</v>
      </c>
      <c r="C36" s="20">
        <v>4493</v>
      </c>
      <c r="D36" s="20">
        <v>3426</v>
      </c>
      <c r="E36" s="20">
        <v>0</v>
      </c>
      <c r="F36" s="20">
        <v>0</v>
      </c>
      <c r="G36" s="20">
        <f>_xlfn.XLOOKUP(B36,Total!B:B,Total!J:J)</f>
        <v>0</v>
      </c>
      <c r="H36" s="20">
        <f>_xlfn.XLOOKUP(B36,Total!B:B,Total!BB:BB)</f>
        <v>0</v>
      </c>
      <c r="I36" s="37">
        <f t="shared" si="0"/>
        <v>0</v>
      </c>
      <c r="J36" s="37">
        <f t="shared" si="1"/>
        <v>0</v>
      </c>
      <c r="K36" s="20">
        <f t="shared" si="2"/>
        <v>0</v>
      </c>
      <c r="L36" s="37"/>
      <c r="M36" s="37"/>
      <c r="N36" s="51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 spans="1:32" x14ac:dyDescent="0.25">
      <c r="A37" s="19" t="s">
        <v>52</v>
      </c>
      <c r="B37" s="19" t="s">
        <v>70</v>
      </c>
      <c r="C37" s="19">
        <v>3943</v>
      </c>
      <c r="D37" s="19">
        <v>3266</v>
      </c>
      <c r="E37" s="19">
        <v>0</v>
      </c>
      <c r="F37" s="19">
        <v>0</v>
      </c>
      <c r="G37" s="19">
        <f>_xlfn.XLOOKUP(B37,Total!B:B,Total!J:J)</f>
        <v>0</v>
      </c>
      <c r="H37" s="19">
        <f>_xlfn.XLOOKUP(B37,Total!B:B,Total!BB:BB)</f>
        <v>0</v>
      </c>
      <c r="I37" s="36">
        <f t="shared" si="0"/>
        <v>0</v>
      </c>
      <c r="J37" s="36">
        <f t="shared" si="1"/>
        <v>0</v>
      </c>
      <c r="K37" s="19">
        <f t="shared" si="2"/>
        <v>0</v>
      </c>
      <c r="L37" s="36"/>
      <c r="M37" s="36"/>
      <c r="N37" s="50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8" spans="1:32" x14ac:dyDescent="0.25">
      <c r="A38" s="20" t="s">
        <v>52</v>
      </c>
      <c r="B38" s="20" t="s">
        <v>71</v>
      </c>
      <c r="C38" s="20">
        <v>3240</v>
      </c>
      <c r="D38" s="20">
        <v>2762</v>
      </c>
      <c r="E38" s="20">
        <v>0</v>
      </c>
      <c r="F38" s="20">
        <v>0</v>
      </c>
      <c r="G38" s="20">
        <f>_xlfn.XLOOKUP(B38,Total!B:B,Total!J:J)</f>
        <v>0</v>
      </c>
      <c r="H38" s="20">
        <f>_xlfn.XLOOKUP(B38,Total!B:B,Total!BB:BB)</f>
        <v>0</v>
      </c>
      <c r="I38" s="37">
        <f t="shared" si="0"/>
        <v>0</v>
      </c>
      <c r="J38" s="37">
        <f t="shared" si="1"/>
        <v>0</v>
      </c>
      <c r="K38" s="20">
        <f t="shared" si="2"/>
        <v>0</v>
      </c>
      <c r="L38" s="37"/>
      <c r="M38" s="37"/>
      <c r="N38" s="51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</row>
    <row r="39" spans="1:32" x14ac:dyDescent="0.25">
      <c r="A39" s="19" t="s">
        <v>52</v>
      </c>
      <c r="B39" s="19" t="s">
        <v>72</v>
      </c>
      <c r="C39" s="19">
        <v>2867</v>
      </c>
      <c r="D39" s="19">
        <v>2490</v>
      </c>
      <c r="E39" s="19">
        <v>0</v>
      </c>
      <c r="F39" s="19">
        <v>0</v>
      </c>
      <c r="G39" s="19">
        <f>_xlfn.XLOOKUP(B39,Total!B:B,Total!J:J)</f>
        <v>0</v>
      </c>
      <c r="H39" s="19">
        <f>_xlfn.XLOOKUP(B39,Total!B:B,Total!BB:BB)</f>
        <v>0</v>
      </c>
      <c r="I39" s="36">
        <f t="shared" si="0"/>
        <v>0</v>
      </c>
      <c r="J39" s="36">
        <f t="shared" si="1"/>
        <v>0</v>
      </c>
      <c r="K39" s="19">
        <f t="shared" si="2"/>
        <v>0</v>
      </c>
      <c r="L39" s="36"/>
      <c r="M39" s="36"/>
      <c r="N39" s="50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</row>
    <row r="40" spans="1:32" x14ac:dyDescent="0.25">
      <c r="A40" s="20" t="s">
        <v>52</v>
      </c>
      <c r="B40" s="20" t="s">
        <v>73</v>
      </c>
      <c r="C40" s="20">
        <v>2481</v>
      </c>
      <c r="D40" s="20">
        <v>2078</v>
      </c>
      <c r="E40" s="20">
        <v>0</v>
      </c>
      <c r="F40" s="20">
        <v>0</v>
      </c>
      <c r="G40" s="20">
        <f>_xlfn.XLOOKUP(B40,Total!B:B,Total!J:J)</f>
        <v>0</v>
      </c>
      <c r="H40" s="20">
        <f>_xlfn.XLOOKUP(B40,Total!B:B,Total!BB:BB)</f>
        <v>0</v>
      </c>
      <c r="I40" s="37">
        <f t="shared" si="0"/>
        <v>0</v>
      </c>
      <c r="J40" s="37">
        <f t="shared" si="1"/>
        <v>0</v>
      </c>
      <c r="K40" s="20">
        <f t="shared" si="2"/>
        <v>0</v>
      </c>
      <c r="L40" s="37"/>
      <c r="M40" s="37"/>
      <c r="N40" s="51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2" ht="15.75" x14ac:dyDescent="0.25">
      <c r="A41" s="22"/>
      <c r="B41" s="22" t="s">
        <v>74</v>
      </c>
      <c r="C41" s="22">
        <f t="shared" ref="C41:H41" si="6">SUM(C3:C40)</f>
        <v>1602515</v>
      </c>
      <c r="D41" s="22">
        <f t="shared" si="6"/>
        <v>1252619</v>
      </c>
      <c r="E41" s="22">
        <f t="shared" si="6"/>
        <v>231116</v>
      </c>
      <c r="F41" s="22">
        <f t="shared" si="6"/>
        <v>240157</v>
      </c>
      <c r="G41" s="22">
        <f t="shared" si="6"/>
        <v>9177</v>
      </c>
      <c r="H41" s="22">
        <f t="shared" si="6"/>
        <v>9381</v>
      </c>
      <c r="I41" s="45">
        <f t="shared" si="0"/>
        <v>7.3262500409142766E-3</v>
      </c>
      <c r="J41" s="45">
        <f t="shared" si="1"/>
        <v>7.4891088192020078E-3</v>
      </c>
      <c r="K41" s="84">
        <f>SUM(K1:K40)</f>
        <v>204</v>
      </c>
      <c r="L41" s="38">
        <f>(H41-G41)/G41</f>
        <v>2.2229486760379207E-2</v>
      </c>
      <c r="M41" s="38">
        <f>G41/E41</f>
        <v>3.97073331141072E-2</v>
      </c>
      <c r="N41" s="72">
        <f>H41/F41</f>
        <v>3.9061946976352971E-2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spans="1:32" ht="15.75" x14ac:dyDescent="0.25"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51" spans="3:32" x14ac:dyDescent="0.25">
      <c r="C51" s="8"/>
      <c r="D51" s="8"/>
      <c r="E51" s="8"/>
      <c r="F51" s="8"/>
      <c r="G51" s="8"/>
      <c r="H51" s="8"/>
      <c r="I51" s="8"/>
      <c r="J51" s="8"/>
      <c r="K51" s="43"/>
      <c r="L51" s="16"/>
      <c r="M51" s="16"/>
      <c r="N51" s="13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3:32" x14ac:dyDescent="0.25">
      <c r="C52" s="8"/>
      <c r="D52" s="8"/>
      <c r="E52" s="8"/>
      <c r="F52" s="8"/>
      <c r="G52" s="8"/>
      <c r="H52" s="8"/>
      <c r="I52" s="8"/>
      <c r="J52" s="8"/>
      <c r="K52" s="43"/>
      <c r="L52" s="16"/>
      <c r="M52" s="16"/>
      <c r="N52" s="13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</sheetData>
  <autoFilter ref="A2:AF2" xr:uid="{1B2E81FE-C549-41FA-ADF8-4795A1C1312E}">
    <sortState xmlns:xlrd2="http://schemas.microsoft.com/office/spreadsheetml/2017/richdata2" ref="A3:AF41">
      <sortCondition descending="1" ref="J2"/>
    </sortState>
  </autoFilter>
  <conditionalFormatting sqref="I3:I41">
    <cfRule type="cellIs" dxfId="82" priority="15" operator="lessThan">
      <formula>$I$40</formula>
    </cfRule>
    <cfRule type="cellIs" dxfId="81" priority="17" operator="lessThan">
      <formula>0.18</formula>
    </cfRule>
  </conditionalFormatting>
  <conditionalFormatting sqref="J3:J40">
    <cfRule type="cellIs" dxfId="80" priority="14" operator="lessThan">
      <formula>$J$40</formula>
    </cfRule>
    <cfRule type="cellIs" dxfId="79" priority="16" operator="lessThan">
      <formula>0.22</formula>
    </cfRule>
  </conditionalFormatting>
  <conditionalFormatting sqref="J41">
    <cfRule type="cellIs" dxfId="78" priority="11" operator="lessThan">
      <formula>$I$40</formula>
    </cfRule>
    <cfRule type="cellIs" dxfId="77" priority="12" operator="lessThan">
      <formula>0.18</formula>
    </cfRule>
  </conditionalFormatting>
  <conditionalFormatting sqref="L3:L40">
    <cfRule type="cellIs" dxfId="76" priority="1" operator="lessThan">
      <formula>$L$41</formula>
    </cfRule>
  </conditionalFormatting>
  <conditionalFormatting sqref="M3:M40">
    <cfRule type="cellIs" dxfId="75" priority="3" operator="lessThan">
      <formula>$M$41</formula>
    </cfRule>
  </conditionalFormatting>
  <conditionalFormatting sqref="N3:N40">
    <cfRule type="cellIs" dxfId="74" priority="2" operator="lessThan">
      <formula>$N$41</formula>
    </cfRule>
    <cfRule type="cellIs" dxfId="73" priority="5" operator="lessThan">
      <formula>$I$41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737A-4F32-4854-9093-5A5490D85335}">
  <dimension ref="A1:AF52"/>
  <sheetViews>
    <sheetView showGridLines="0" zoomScale="85" zoomScaleNormal="85" workbookViewId="0">
      <pane xSplit="2" ySplit="2" topLeftCell="C3" activePane="bottomRight" state="frozen"/>
      <selection activeCell="K18" sqref="K18"/>
      <selection pane="topRight" activeCell="K18" sqref="K18"/>
      <selection pane="bottomLeft" activeCell="K18" sqref="K18"/>
      <selection pane="bottomRight" activeCell="M19" sqref="M19"/>
    </sheetView>
  </sheetViews>
  <sheetFormatPr defaultRowHeight="15" x14ac:dyDescent="0.25"/>
  <cols>
    <col min="1" max="2" width="19.28515625" style="7" customWidth="1"/>
    <col min="3" max="4" width="12.140625" style="7" bestFit="1" customWidth="1"/>
    <col min="5" max="5" width="12.140625" style="7" customWidth="1"/>
    <col min="6" max="8" width="21.5703125" style="7" bestFit="1" customWidth="1"/>
    <col min="9" max="10" width="21.5703125" style="12" bestFit="1" customWidth="1"/>
    <col min="11" max="11" width="26.7109375" style="42" customWidth="1"/>
    <col min="12" max="12" width="24.5703125" style="12" customWidth="1"/>
    <col min="13" max="14" width="21.5703125" style="12" bestFit="1" customWidth="1"/>
    <col min="15" max="32" width="15.140625" style="7" bestFit="1" customWidth="1"/>
  </cols>
  <sheetData>
    <row r="1" spans="1:32" ht="18.75" x14ac:dyDescent="0.3">
      <c r="A1" s="10"/>
      <c r="B1" s="10"/>
      <c r="C1" s="11"/>
      <c r="D1" s="11"/>
      <c r="E1" s="11"/>
      <c r="F1" s="11"/>
      <c r="G1" s="64">
        <v>2025</v>
      </c>
      <c r="H1" s="64">
        <v>2026</v>
      </c>
      <c r="I1" s="70" t="s">
        <v>79</v>
      </c>
      <c r="J1" s="70"/>
      <c r="K1" s="66"/>
      <c r="L1" s="48"/>
      <c r="M1" s="70"/>
      <c r="N1" s="70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8.7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98</v>
      </c>
      <c r="F2" s="3" t="s">
        <v>94</v>
      </c>
      <c r="G2" s="3" t="s">
        <v>115</v>
      </c>
      <c r="H2" s="3" t="s">
        <v>115</v>
      </c>
      <c r="I2" s="71" t="s">
        <v>103</v>
      </c>
      <c r="J2" s="71" t="s">
        <v>103</v>
      </c>
      <c r="K2" s="41" t="s">
        <v>128</v>
      </c>
      <c r="L2" s="49" t="s">
        <v>127</v>
      </c>
      <c r="M2" s="71" t="s">
        <v>104</v>
      </c>
      <c r="N2" s="71" t="s">
        <v>105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s="19" t="s">
        <v>56</v>
      </c>
      <c r="B3" s="19" t="s">
        <v>57</v>
      </c>
      <c r="C3" s="19">
        <v>7920</v>
      </c>
      <c r="D3" s="19">
        <v>6833</v>
      </c>
      <c r="E3" s="19">
        <v>9307</v>
      </c>
      <c r="F3" s="19">
        <v>9261</v>
      </c>
      <c r="G3" s="19">
        <f>_xlfn.XLOOKUP(B3,Total!B:B,Total!K:K)</f>
        <v>496</v>
      </c>
      <c r="H3" s="19">
        <f>_xlfn.XLOOKUP(B3,Total!B:B,Total!BC:BC)</f>
        <v>403</v>
      </c>
      <c r="I3" s="50">
        <f t="shared" ref="I3:I41" si="0">G3/D3</f>
        <v>7.2588906775940293E-2</v>
      </c>
      <c r="J3" s="50">
        <f t="shared" ref="J3:J41" si="1">H3/D3</f>
        <v>5.8978486755451483E-2</v>
      </c>
      <c r="K3" s="19">
        <f t="shared" ref="K3:K40" si="2">H3-G3</f>
        <v>-93</v>
      </c>
      <c r="L3" s="50">
        <f>K3/G3</f>
        <v>-0.1875</v>
      </c>
      <c r="M3" s="50">
        <f t="shared" ref="M3:M31" si="3">G3/E3</f>
        <v>5.3293220156871171E-2</v>
      </c>
      <c r="N3" s="50">
        <f>H3/F3</f>
        <v>4.3515819026023105E-2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 spans="1:32" x14ac:dyDescent="0.25">
      <c r="A4" s="20" t="s">
        <v>60</v>
      </c>
      <c r="B4" s="20" t="s">
        <v>61</v>
      </c>
      <c r="C4" s="20">
        <v>8533</v>
      </c>
      <c r="D4" s="20">
        <v>6447</v>
      </c>
      <c r="E4" s="20">
        <v>3155</v>
      </c>
      <c r="F4" s="20">
        <v>3424</v>
      </c>
      <c r="G4" s="20">
        <f>_xlfn.XLOOKUP(B4,Total!B:B,Total!K:K)</f>
        <v>410</v>
      </c>
      <c r="H4" s="20">
        <f>_xlfn.XLOOKUP(B4,Total!B:B,Total!BC:BC)</f>
        <v>522</v>
      </c>
      <c r="I4" s="51">
        <f t="shared" si="0"/>
        <v>6.3595470761594539E-2</v>
      </c>
      <c r="J4" s="51">
        <f t="shared" si="1"/>
        <v>8.0967892042810616E-2</v>
      </c>
      <c r="K4" s="20">
        <f t="shared" si="2"/>
        <v>112</v>
      </c>
      <c r="L4" s="51">
        <f t="shared" ref="L4:L25" si="4">(H4-G4)/G4</f>
        <v>0.27317073170731709</v>
      </c>
      <c r="M4" s="51">
        <f t="shared" si="3"/>
        <v>0.12995245641838352</v>
      </c>
      <c r="N4" s="51">
        <f>H4/F4</f>
        <v>0.15245327102803738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x14ac:dyDescent="0.25">
      <c r="A5" s="19" t="s">
        <v>62</v>
      </c>
      <c r="B5" s="19" t="s">
        <v>63</v>
      </c>
      <c r="C5" s="19">
        <v>10771</v>
      </c>
      <c r="D5" s="19">
        <v>9026</v>
      </c>
      <c r="E5" s="19">
        <v>2881</v>
      </c>
      <c r="F5" s="19">
        <v>2976</v>
      </c>
      <c r="G5" s="19">
        <f>_xlfn.XLOOKUP(B5,Total!B:B,Total!K:K)</f>
        <v>299</v>
      </c>
      <c r="H5" s="19">
        <f>_xlfn.XLOOKUP(B5,Total!B:B,Total!BC:BC)</f>
        <v>322</v>
      </c>
      <c r="I5" s="50">
        <f t="shared" si="0"/>
        <v>3.3126523376911146E-2</v>
      </c>
      <c r="J5" s="50">
        <f t="shared" si="1"/>
        <v>3.5674717482827391E-2</v>
      </c>
      <c r="K5" s="19">
        <f t="shared" si="2"/>
        <v>23</v>
      </c>
      <c r="L5" s="50">
        <f t="shared" si="4"/>
        <v>7.6923076923076927E-2</v>
      </c>
      <c r="M5" s="50">
        <f t="shared" si="3"/>
        <v>0.10378340853870184</v>
      </c>
      <c r="N5" s="50">
        <f t="shared" ref="N5:N31" si="5">H5/F5</f>
        <v>0.1081989247311828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</row>
    <row r="6" spans="1:32" x14ac:dyDescent="0.25">
      <c r="A6" s="20" t="s">
        <v>48</v>
      </c>
      <c r="B6" s="20" t="s">
        <v>49</v>
      </c>
      <c r="C6" s="20">
        <v>27775</v>
      </c>
      <c r="D6" s="20">
        <v>22138</v>
      </c>
      <c r="E6" s="20">
        <v>7374</v>
      </c>
      <c r="F6" s="20">
        <v>7529</v>
      </c>
      <c r="G6" s="20">
        <f>_xlfn.XLOOKUP(B6,Total!B:B,Total!K:K)</f>
        <v>481</v>
      </c>
      <c r="H6" s="20">
        <f>_xlfn.XLOOKUP(B6,Total!B:B,Total!BC:BC)</f>
        <v>552</v>
      </c>
      <c r="I6" s="51">
        <f t="shared" si="0"/>
        <v>2.1727346643779927E-2</v>
      </c>
      <c r="J6" s="51">
        <f t="shared" si="1"/>
        <v>2.4934501761676754E-2</v>
      </c>
      <c r="K6" s="20">
        <f t="shared" si="2"/>
        <v>71</v>
      </c>
      <c r="L6" s="51">
        <f t="shared" si="4"/>
        <v>0.14760914760914762</v>
      </c>
      <c r="M6" s="51">
        <f t="shared" si="3"/>
        <v>6.5229183618117706E-2</v>
      </c>
      <c r="N6" s="51">
        <f t="shared" si="5"/>
        <v>7.33165094966131E-2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7" spans="1:32" x14ac:dyDescent="0.25">
      <c r="A7" s="19" t="s">
        <v>6</v>
      </c>
      <c r="B7" s="19" t="s">
        <v>7</v>
      </c>
      <c r="C7" s="19">
        <v>227466</v>
      </c>
      <c r="D7" s="19">
        <v>177302</v>
      </c>
      <c r="E7" s="19">
        <v>45420</v>
      </c>
      <c r="F7" s="19">
        <v>47635</v>
      </c>
      <c r="G7" s="19">
        <f>_xlfn.XLOOKUP(B7,Total!B:B,Total!K:K)</f>
        <v>6327</v>
      </c>
      <c r="H7" s="19">
        <f>_xlfn.XLOOKUP(B7,Total!B:B,Total!BC:BC)</f>
        <v>7665</v>
      </c>
      <c r="I7" s="50">
        <f t="shared" si="0"/>
        <v>3.5684876651137606E-2</v>
      </c>
      <c r="J7" s="50">
        <f t="shared" si="1"/>
        <v>4.3231322827717682E-2</v>
      </c>
      <c r="K7" s="19">
        <f t="shared" si="2"/>
        <v>1338</v>
      </c>
      <c r="L7" s="50">
        <f t="shared" si="4"/>
        <v>0.21147463252726412</v>
      </c>
      <c r="M7" s="50">
        <f t="shared" si="3"/>
        <v>0.13929986789960369</v>
      </c>
      <c r="N7" s="50">
        <f t="shared" si="5"/>
        <v>0.16091109478324761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spans="1:32" x14ac:dyDescent="0.25">
      <c r="A8" s="20" t="s">
        <v>50</v>
      </c>
      <c r="B8" s="20" t="s">
        <v>51</v>
      </c>
      <c r="C8" s="20">
        <v>27716</v>
      </c>
      <c r="D8" s="20">
        <v>21269</v>
      </c>
      <c r="E8" s="20">
        <v>5730</v>
      </c>
      <c r="F8" s="20">
        <v>5947</v>
      </c>
      <c r="G8" s="20">
        <f>_xlfn.XLOOKUP(B8,Total!B:B,Total!K:K)</f>
        <v>512</v>
      </c>
      <c r="H8" s="20">
        <f>_xlfn.XLOOKUP(B8,Total!B:B,Total!BC:BC)</f>
        <v>643</v>
      </c>
      <c r="I8" s="51">
        <f t="shared" si="0"/>
        <v>2.4072593916028021E-2</v>
      </c>
      <c r="J8" s="51">
        <f t="shared" si="1"/>
        <v>3.0231792750011754E-2</v>
      </c>
      <c r="K8" s="20">
        <f>H8-G8</f>
        <v>131</v>
      </c>
      <c r="L8" s="51">
        <f t="shared" si="4"/>
        <v>0.255859375</v>
      </c>
      <c r="M8" s="51">
        <f t="shared" si="3"/>
        <v>8.9354275741710301E-2</v>
      </c>
      <c r="N8" s="51">
        <f t="shared" si="5"/>
        <v>0.10812174205481756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2" x14ac:dyDescent="0.25">
      <c r="A9" s="19" t="s">
        <v>22</v>
      </c>
      <c r="B9" s="19" t="s">
        <v>23</v>
      </c>
      <c r="C9" s="19">
        <v>48079</v>
      </c>
      <c r="D9" s="19">
        <v>36276</v>
      </c>
      <c r="E9" s="19">
        <v>8493</v>
      </c>
      <c r="F9" s="19">
        <v>8808</v>
      </c>
      <c r="G9" s="19">
        <f>_xlfn.XLOOKUP(B9,Total!B:B,Total!K:K)</f>
        <v>905</v>
      </c>
      <c r="H9" s="19">
        <f>_xlfn.XLOOKUP(B9,Total!B:B,Total!BC:BC)</f>
        <v>1091</v>
      </c>
      <c r="I9" s="50">
        <f t="shared" si="0"/>
        <v>2.4947623773293636E-2</v>
      </c>
      <c r="J9" s="50">
        <f t="shared" si="1"/>
        <v>3.0074980703495423E-2</v>
      </c>
      <c r="K9" s="19">
        <f t="shared" si="2"/>
        <v>186</v>
      </c>
      <c r="L9" s="50">
        <f t="shared" si="4"/>
        <v>0.20552486187845304</v>
      </c>
      <c r="M9" s="50">
        <f t="shared" si="3"/>
        <v>0.10655834216413516</v>
      </c>
      <c r="N9" s="50">
        <f t="shared" si="5"/>
        <v>0.12386466848319709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</row>
    <row r="10" spans="1:32" x14ac:dyDescent="0.25">
      <c r="A10" s="20" t="s">
        <v>30</v>
      </c>
      <c r="B10" s="20" t="s">
        <v>31</v>
      </c>
      <c r="C10" s="20">
        <v>18486</v>
      </c>
      <c r="D10" s="20">
        <v>14806</v>
      </c>
      <c r="E10" s="20">
        <v>3610</v>
      </c>
      <c r="F10" s="20">
        <v>3691</v>
      </c>
      <c r="G10" s="20">
        <f>_xlfn.XLOOKUP(B10,Total!B:B,Total!K:K)</f>
        <v>221</v>
      </c>
      <c r="H10" s="20">
        <f>_xlfn.XLOOKUP(B10,Total!B:B,Total!BC:BC)</f>
        <v>237</v>
      </c>
      <c r="I10" s="51">
        <f t="shared" si="0"/>
        <v>1.4926381196812104E-2</v>
      </c>
      <c r="J10" s="51">
        <f t="shared" si="1"/>
        <v>1.6007024179386736E-2</v>
      </c>
      <c r="K10" s="20">
        <f t="shared" si="2"/>
        <v>16</v>
      </c>
      <c r="L10" s="51">
        <f t="shared" si="4"/>
        <v>7.2398190045248875E-2</v>
      </c>
      <c r="M10" s="51">
        <f t="shared" si="3"/>
        <v>6.1218836565096954E-2</v>
      </c>
      <c r="N10" s="51">
        <f t="shared" si="5"/>
        <v>6.4210241127065831E-2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1:32" x14ac:dyDescent="0.25">
      <c r="A11" s="19" t="s">
        <v>18</v>
      </c>
      <c r="B11" s="19" t="s">
        <v>19</v>
      </c>
      <c r="C11" s="19">
        <v>64742</v>
      </c>
      <c r="D11" s="19">
        <v>50171</v>
      </c>
      <c r="E11" s="19">
        <v>11839</v>
      </c>
      <c r="F11" s="19">
        <v>11901</v>
      </c>
      <c r="G11" s="19">
        <f>_xlfn.XLOOKUP(B11,Total!B:B,Total!K:K)</f>
        <v>994</v>
      </c>
      <c r="H11" s="19">
        <f>_xlfn.XLOOKUP(B11,Total!B:B,Total!BC:BC)</f>
        <v>1087</v>
      </c>
      <c r="I11" s="50">
        <f t="shared" si="0"/>
        <v>1.981224213190887E-2</v>
      </c>
      <c r="J11" s="50">
        <f t="shared" si="1"/>
        <v>2.1665902613063323E-2</v>
      </c>
      <c r="K11" s="19">
        <f t="shared" si="2"/>
        <v>93</v>
      </c>
      <c r="L11" s="50">
        <f t="shared" si="4"/>
        <v>9.3561368209255535E-2</v>
      </c>
      <c r="M11" s="50">
        <f t="shared" si="3"/>
        <v>8.3959793901511953E-2</v>
      </c>
      <c r="N11" s="50">
        <f t="shared" si="5"/>
        <v>9.1336862448533743E-2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 spans="1:32" x14ac:dyDescent="0.25">
      <c r="A12" s="20" t="s">
        <v>46</v>
      </c>
      <c r="B12" s="20" t="s">
        <v>47</v>
      </c>
      <c r="C12" s="20">
        <v>22815</v>
      </c>
      <c r="D12" s="20">
        <v>17367</v>
      </c>
      <c r="E12" s="20">
        <v>3945</v>
      </c>
      <c r="F12" s="20">
        <v>4126</v>
      </c>
      <c r="G12" s="20">
        <f>_xlfn.XLOOKUP(B12,Total!B:B,Total!K:K)</f>
        <v>356</v>
      </c>
      <c r="H12" s="20">
        <f>_xlfn.XLOOKUP(B12,Total!B:B,Total!BC:BC)</f>
        <v>532</v>
      </c>
      <c r="I12" s="51">
        <f t="shared" si="0"/>
        <v>2.0498646858985434E-2</v>
      </c>
      <c r="J12" s="51">
        <f t="shared" si="1"/>
        <v>3.0632809351068116E-2</v>
      </c>
      <c r="K12" s="20">
        <f t="shared" si="2"/>
        <v>176</v>
      </c>
      <c r="L12" s="51">
        <f t="shared" si="4"/>
        <v>0.4943820224719101</v>
      </c>
      <c r="M12" s="51">
        <f t="shared" si="3"/>
        <v>9.0240811153358677E-2</v>
      </c>
      <c r="N12" s="51">
        <f t="shared" si="5"/>
        <v>0.12893843916626271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</row>
    <row r="13" spans="1:32" x14ac:dyDescent="0.25">
      <c r="A13" s="19" t="s">
        <v>12</v>
      </c>
      <c r="B13" s="19" t="s">
        <v>13</v>
      </c>
      <c r="C13" s="19">
        <v>82745</v>
      </c>
      <c r="D13" s="19">
        <v>65980</v>
      </c>
      <c r="E13" s="19">
        <v>14551</v>
      </c>
      <c r="F13" s="19">
        <v>15027</v>
      </c>
      <c r="G13" s="19">
        <f>_xlfn.XLOOKUP(B13,Total!B:B,Total!K:K)</f>
        <v>1634</v>
      </c>
      <c r="H13" s="19">
        <f>_xlfn.XLOOKUP(B13,Total!B:B,Total!BC:BC)</f>
        <v>1780</v>
      </c>
      <c r="I13" s="50">
        <f t="shared" si="0"/>
        <v>2.476508032737193E-2</v>
      </c>
      <c r="J13" s="50">
        <f t="shared" si="1"/>
        <v>2.6977872082449228E-2</v>
      </c>
      <c r="K13" s="19">
        <f t="shared" si="2"/>
        <v>146</v>
      </c>
      <c r="L13" s="50">
        <f t="shared" si="4"/>
        <v>8.935128518971848E-2</v>
      </c>
      <c r="M13" s="50">
        <f t="shared" si="3"/>
        <v>0.11229468765033331</v>
      </c>
      <c r="N13" s="50">
        <f t="shared" si="5"/>
        <v>0.11845345045584614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 spans="1:32" x14ac:dyDescent="0.25">
      <c r="A14" s="20" t="s">
        <v>24</v>
      </c>
      <c r="B14" s="20" t="s">
        <v>25</v>
      </c>
      <c r="C14" s="20">
        <v>70975</v>
      </c>
      <c r="D14" s="20">
        <v>54812</v>
      </c>
      <c r="E14" s="20">
        <v>10092</v>
      </c>
      <c r="F14" s="20">
        <v>10670</v>
      </c>
      <c r="G14" s="20">
        <f>_xlfn.XLOOKUP(B14,Total!B:B,Total!K:K)</f>
        <v>666</v>
      </c>
      <c r="H14" s="20">
        <f>_xlfn.XLOOKUP(B14,Total!B:B,Total!BC:BC)</f>
        <v>768</v>
      </c>
      <c r="I14" s="51">
        <f t="shared" si="0"/>
        <v>1.2150623950959644E-2</v>
      </c>
      <c r="J14" s="51">
        <f t="shared" si="1"/>
        <v>1.4011530321827337E-2</v>
      </c>
      <c r="K14" s="20">
        <f t="shared" si="2"/>
        <v>102</v>
      </c>
      <c r="L14" s="51">
        <f t="shared" si="4"/>
        <v>0.15315315315315314</v>
      </c>
      <c r="M14" s="51">
        <f t="shared" si="3"/>
        <v>6.5992865636147438E-2</v>
      </c>
      <c r="N14" s="51">
        <f t="shared" si="5"/>
        <v>7.1977507029053422E-2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</row>
    <row r="15" spans="1:32" x14ac:dyDescent="0.25">
      <c r="A15" s="19" t="s">
        <v>36</v>
      </c>
      <c r="B15" s="19" t="s">
        <v>37</v>
      </c>
      <c r="C15" s="19">
        <v>33008</v>
      </c>
      <c r="D15" s="19">
        <v>26385</v>
      </c>
      <c r="E15" s="19">
        <v>4844</v>
      </c>
      <c r="F15" s="19">
        <v>5105</v>
      </c>
      <c r="G15" s="19">
        <f>_xlfn.XLOOKUP(B15,Total!B:B,Total!K:K)</f>
        <v>492</v>
      </c>
      <c r="H15" s="19">
        <f>_xlfn.XLOOKUP(B15,Total!B:B,Total!BC:BC)</f>
        <v>594</v>
      </c>
      <c r="I15" s="50">
        <f t="shared" si="0"/>
        <v>1.8646958499147243E-2</v>
      </c>
      <c r="J15" s="50">
        <f t="shared" si="1"/>
        <v>2.2512791358726549E-2</v>
      </c>
      <c r="K15" s="19">
        <f t="shared" si="2"/>
        <v>102</v>
      </c>
      <c r="L15" s="50">
        <f t="shared" si="4"/>
        <v>0.2073170731707317</v>
      </c>
      <c r="M15" s="50">
        <f t="shared" si="3"/>
        <v>0.10156895127993394</v>
      </c>
      <c r="N15" s="50">
        <f t="shared" si="5"/>
        <v>0.11635651322233105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</row>
    <row r="16" spans="1:32" x14ac:dyDescent="0.25">
      <c r="A16" s="20" t="s">
        <v>38</v>
      </c>
      <c r="B16" s="20" t="s">
        <v>39</v>
      </c>
      <c r="C16" s="20">
        <v>40664</v>
      </c>
      <c r="D16" s="20">
        <v>31671</v>
      </c>
      <c r="E16" s="20">
        <v>5790</v>
      </c>
      <c r="F16" s="20">
        <v>6091</v>
      </c>
      <c r="G16" s="20">
        <f>_xlfn.XLOOKUP(B16,Total!B:B,Total!K:K)</f>
        <v>468</v>
      </c>
      <c r="H16" s="20">
        <f>_xlfn.XLOOKUP(B16,Total!B:B,Total!BC:BC)</f>
        <v>625</v>
      </c>
      <c r="I16" s="51">
        <f t="shared" si="0"/>
        <v>1.4776925262858768E-2</v>
      </c>
      <c r="J16" s="51">
        <f t="shared" si="1"/>
        <v>1.9734141643775061E-2</v>
      </c>
      <c r="K16" s="20">
        <f t="shared" si="2"/>
        <v>157</v>
      </c>
      <c r="L16" s="51">
        <f t="shared" si="4"/>
        <v>0.33547008547008544</v>
      </c>
      <c r="M16" s="51">
        <f t="shared" si="3"/>
        <v>8.0829015544041455E-2</v>
      </c>
      <c r="N16" s="51">
        <f t="shared" si="5"/>
        <v>0.10261040879986866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spans="1:32" x14ac:dyDescent="0.25">
      <c r="A17" s="19" t="s">
        <v>40</v>
      </c>
      <c r="B17" s="19" t="s">
        <v>41</v>
      </c>
      <c r="C17" s="19">
        <v>35566</v>
      </c>
      <c r="D17" s="19">
        <v>27813</v>
      </c>
      <c r="E17" s="19">
        <v>4960</v>
      </c>
      <c r="F17" s="19">
        <v>5153</v>
      </c>
      <c r="G17" s="19">
        <f>_xlfn.XLOOKUP(B17,Total!B:B,Total!K:K)</f>
        <v>303</v>
      </c>
      <c r="H17" s="19">
        <f>_xlfn.XLOOKUP(B17,Total!B:B,Total!BC:BC)</f>
        <v>403</v>
      </c>
      <c r="I17" s="50">
        <f t="shared" si="0"/>
        <v>1.0894186171933988E-2</v>
      </c>
      <c r="J17" s="50">
        <f t="shared" si="1"/>
        <v>1.4489627152770287E-2</v>
      </c>
      <c r="K17" s="19">
        <f t="shared" si="2"/>
        <v>100</v>
      </c>
      <c r="L17" s="50">
        <f t="shared" si="4"/>
        <v>0.33003300330033003</v>
      </c>
      <c r="M17" s="50">
        <f t="shared" si="3"/>
        <v>6.1088709677419355E-2</v>
      </c>
      <c r="N17" s="50">
        <f t="shared" si="5"/>
        <v>7.8206869784591501E-2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</row>
    <row r="18" spans="1:32" x14ac:dyDescent="0.25">
      <c r="A18" s="20" t="s">
        <v>42</v>
      </c>
      <c r="B18" s="20" t="s">
        <v>43</v>
      </c>
      <c r="C18" s="20">
        <v>30503</v>
      </c>
      <c r="D18" s="20">
        <v>23708</v>
      </c>
      <c r="E18" s="20">
        <v>4235</v>
      </c>
      <c r="F18" s="20">
        <v>4322</v>
      </c>
      <c r="G18" s="20">
        <f>_xlfn.XLOOKUP(B18,Total!B:B,Total!K:K)</f>
        <v>297</v>
      </c>
      <c r="H18" s="20">
        <f>_xlfn.XLOOKUP(B18,Total!B:B,Total!BC:BC)</f>
        <v>384</v>
      </c>
      <c r="I18" s="51">
        <f t="shared" si="0"/>
        <v>1.2527416905685844E-2</v>
      </c>
      <c r="J18" s="51">
        <f t="shared" si="1"/>
        <v>1.6197064282098869E-2</v>
      </c>
      <c r="K18" s="20">
        <f t="shared" si="2"/>
        <v>87</v>
      </c>
      <c r="L18" s="51">
        <f t="shared" si="4"/>
        <v>0.29292929292929293</v>
      </c>
      <c r="M18" s="51">
        <f t="shared" si="3"/>
        <v>7.0129870129870125E-2</v>
      </c>
      <c r="N18" s="51">
        <f t="shared" si="5"/>
        <v>8.884775566867191E-2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 spans="1:32" x14ac:dyDescent="0.25">
      <c r="A19" s="19" t="s">
        <v>28</v>
      </c>
      <c r="B19" s="19" t="s">
        <v>29</v>
      </c>
      <c r="C19" s="19">
        <v>82980</v>
      </c>
      <c r="D19" s="19">
        <v>66517</v>
      </c>
      <c r="E19" s="19">
        <v>11191</v>
      </c>
      <c r="F19" s="19">
        <v>11535</v>
      </c>
      <c r="G19" s="19">
        <f>_xlfn.XLOOKUP(B19,Total!B:B,Total!K:K)</f>
        <v>1274</v>
      </c>
      <c r="H19" s="19">
        <f>_xlfn.XLOOKUP(B19,Total!B:B,Total!BC:BC)</f>
        <v>1439</v>
      </c>
      <c r="I19" s="50">
        <f t="shared" si="0"/>
        <v>1.9152998481591171E-2</v>
      </c>
      <c r="J19" s="50">
        <f t="shared" si="1"/>
        <v>2.1633567358720327E-2</v>
      </c>
      <c r="K19" s="19">
        <f t="shared" si="2"/>
        <v>165</v>
      </c>
      <c r="L19" s="50">
        <f t="shared" si="4"/>
        <v>0.12951334379905807</v>
      </c>
      <c r="M19" s="50">
        <f t="shared" si="3"/>
        <v>0.11384147976052185</v>
      </c>
      <c r="N19" s="50">
        <f t="shared" si="5"/>
        <v>0.12475075856090161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spans="1:32" x14ac:dyDescent="0.25">
      <c r="A20" s="20" t="s">
        <v>54</v>
      </c>
      <c r="B20" s="20" t="s">
        <v>55</v>
      </c>
      <c r="C20" s="20">
        <v>22868</v>
      </c>
      <c r="D20" s="20">
        <v>19137</v>
      </c>
      <c r="E20" s="20">
        <v>3058</v>
      </c>
      <c r="F20" s="20">
        <v>3239</v>
      </c>
      <c r="G20" s="20">
        <f>_xlfn.XLOOKUP(B20,Total!B:B,Total!K:K)</f>
        <v>215</v>
      </c>
      <c r="H20" s="20">
        <f>_xlfn.XLOOKUP(B20,Total!B:B,Total!BC:BC)</f>
        <v>268</v>
      </c>
      <c r="I20" s="51">
        <f t="shared" si="0"/>
        <v>1.1234780791137587E-2</v>
      </c>
      <c r="J20" s="51">
        <f t="shared" si="1"/>
        <v>1.4004284893138945E-2</v>
      </c>
      <c r="K20" s="20">
        <f t="shared" si="2"/>
        <v>53</v>
      </c>
      <c r="L20" s="51">
        <f t="shared" si="4"/>
        <v>0.24651162790697675</v>
      </c>
      <c r="M20" s="51">
        <f t="shared" si="3"/>
        <v>7.0307390451275348E-2</v>
      </c>
      <c r="N20" s="51">
        <f t="shared" si="5"/>
        <v>8.2741586909539977E-2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  <row r="21" spans="1:32" x14ac:dyDescent="0.25">
      <c r="A21" s="19" t="s">
        <v>44</v>
      </c>
      <c r="B21" s="19" t="s">
        <v>45</v>
      </c>
      <c r="C21" s="19">
        <v>41799</v>
      </c>
      <c r="D21" s="19">
        <v>32724</v>
      </c>
      <c r="E21" s="19">
        <v>5358</v>
      </c>
      <c r="F21" s="19">
        <v>5514</v>
      </c>
      <c r="G21" s="19">
        <f>_xlfn.XLOOKUP(B21,Total!B:B,Total!K:K)</f>
        <v>477</v>
      </c>
      <c r="H21" s="19">
        <f>_xlfn.XLOOKUP(B21,Total!B:B,Total!BC:BC)</f>
        <v>549</v>
      </c>
      <c r="I21" s="50">
        <f t="shared" si="0"/>
        <v>1.4576457645764576E-2</v>
      </c>
      <c r="J21" s="50">
        <f t="shared" si="1"/>
        <v>1.6776677667766776E-2</v>
      </c>
      <c r="K21" s="19">
        <f t="shared" si="2"/>
        <v>72</v>
      </c>
      <c r="L21" s="50">
        <f t="shared" si="4"/>
        <v>0.15094339622641509</v>
      </c>
      <c r="M21" s="50">
        <f t="shared" si="3"/>
        <v>8.9025755879059351E-2</v>
      </c>
      <c r="N21" s="50">
        <f t="shared" si="5"/>
        <v>9.9564744287268775E-2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</row>
    <row r="22" spans="1:32" x14ac:dyDescent="0.25">
      <c r="A22" s="20" t="s">
        <v>32</v>
      </c>
      <c r="B22" s="20" t="s">
        <v>33</v>
      </c>
      <c r="C22" s="20">
        <v>45749</v>
      </c>
      <c r="D22" s="20">
        <v>36111</v>
      </c>
      <c r="E22" s="20">
        <v>5637</v>
      </c>
      <c r="F22" s="20">
        <v>5922</v>
      </c>
      <c r="G22" s="20">
        <f>_xlfn.XLOOKUP(B22,Total!B:B,Total!K:K)</f>
        <v>520</v>
      </c>
      <c r="H22" s="20">
        <f>_xlfn.XLOOKUP(B22,Total!B:B,Total!BC:BC)</f>
        <v>613</v>
      </c>
      <c r="I22" s="51">
        <f t="shared" si="0"/>
        <v>1.440004430782864E-2</v>
      </c>
      <c r="J22" s="51">
        <f t="shared" si="1"/>
        <v>1.6975436847497992E-2</v>
      </c>
      <c r="K22" s="20">
        <f t="shared" si="2"/>
        <v>93</v>
      </c>
      <c r="L22" s="51">
        <f t="shared" si="4"/>
        <v>0.17884615384615385</v>
      </c>
      <c r="M22" s="51">
        <f t="shared" si="3"/>
        <v>9.224764945893206E-2</v>
      </c>
      <c r="N22" s="51">
        <f t="shared" si="5"/>
        <v>0.10351232691658224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</row>
    <row r="23" spans="1:32" x14ac:dyDescent="0.25">
      <c r="A23" s="19" t="s">
        <v>10</v>
      </c>
      <c r="B23" s="19" t="s">
        <v>11</v>
      </c>
      <c r="C23" s="19">
        <v>109255</v>
      </c>
      <c r="D23" s="19">
        <v>84228</v>
      </c>
      <c r="E23" s="19">
        <v>13031</v>
      </c>
      <c r="F23" s="19">
        <v>13576</v>
      </c>
      <c r="G23" s="19">
        <f>_xlfn.XLOOKUP(B23,Total!B:B,Total!K:K)</f>
        <v>1364</v>
      </c>
      <c r="H23" s="19">
        <f>_xlfn.XLOOKUP(B23,Total!B:B,Total!BC:BC)</f>
        <v>1578</v>
      </c>
      <c r="I23" s="50">
        <f t="shared" si="0"/>
        <v>1.6194139716008929E-2</v>
      </c>
      <c r="J23" s="50">
        <f t="shared" si="1"/>
        <v>1.8734862516027923E-2</v>
      </c>
      <c r="K23" s="19">
        <f t="shared" si="2"/>
        <v>214</v>
      </c>
      <c r="L23" s="50">
        <f t="shared" si="4"/>
        <v>0.15689149560117302</v>
      </c>
      <c r="M23" s="50">
        <f t="shared" si="3"/>
        <v>0.10467347095387922</v>
      </c>
      <c r="N23" s="50">
        <f t="shared" si="5"/>
        <v>0.11623453152622275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</row>
    <row r="24" spans="1:32" x14ac:dyDescent="0.25">
      <c r="A24" s="20" t="s">
        <v>26</v>
      </c>
      <c r="B24" s="20" t="s">
        <v>27</v>
      </c>
      <c r="C24" s="20">
        <v>55044</v>
      </c>
      <c r="D24" s="20">
        <v>41804</v>
      </c>
      <c r="E24" s="20">
        <v>5716</v>
      </c>
      <c r="F24" s="20">
        <v>5950</v>
      </c>
      <c r="G24" s="20">
        <f>_xlfn.XLOOKUP(B24,Total!B:B,Total!K:K)</f>
        <v>554</v>
      </c>
      <c r="H24" s="20">
        <f>_xlfn.XLOOKUP(B24,Total!B:B,Total!BC:BC)</f>
        <v>701</v>
      </c>
      <c r="I24" s="51">
        <f t="shared" si="0"/>
        <v>1.3252320352119415E-2</v>
      </c>
      <c r="J24" s="51">
        <f t="shared" si="1"/>
        <v>1.6768730265046407E-2</v>
      </c>
      <c r="K24" s="20">
        <f t="shared" si="2"/>
        <v>147</v>
      </c>
      <c r="L24" s="51">
        <f t="shared" si="4"/>
        <v>0.26534296028880866</v>
      </c>
      <c r="M24" s="51">
        <f t="shared" si="3"/>
        <v>9.6920923722883134E-2</v>
      </c>
      <c r="N24" s="51">
        <f t="shared" si="5"/>
        <v>0.11781512605042017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 spans="1:32" x14ac:dyDescent="0.25">
      <c r="A25" s="19" t="s">
        <v>8</v>
      </c>
      <c r="B25" s="19" t="s">
        <v>9</v>
      </c>
      <c r="C25" s="19">
        <v>147246</v>
      </c>
      <c r="D25" s="19">
        <v>115421</v>
      </c>
      <c r="E25" s="19">
        <v>15388</v>
      </c>
      <c r="F25" s="19">
        <v>16152</v>
      </c>
      <c r="G25" s="19">
        <f>_xlfn.XLOOKUP(B25,Total!B:B,Total!K:K)</f>
        <v>1183</v>
      </c>
      <c r="H25" s="19">
        <f>_xlfn.XLOOKUP(B25,Total!B:B,Total!BC:BC)</f>
        <v>1382</v>
      </c>
      <c r="I25" s="50">
        <f t="shared" si="0"/>
        <v>1.0249434678264786E-2</v>
      </c>
      <c r="J25" s="50">
        <f t="shared" si="1"/>
        <v>1.1973557671480926E-2</v>
      </c>
      <c r="K25" s="19">
        <f t="shared" si="2"/>
        <v>199</v>
      </c>
      <c r="L25" s="50">
        <f t="shared" si="4"/>
        <v>0.16821639898562976</v>
      </c>
      <c r="M25" s="50">
        <f t="shared" si="3"/>
        <v>7.6878086820899402E-2</v>
      </c>
      <c r="N25" s="50">
        <f t="shared" si="5"/>
        <v>8.5562159484893513E-2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spans="1:32" x14ac:dyDescent="0.25">
      <c r="A26" s="20" t="s">
        <v>16</v>
      </c>
      <c r="B26" s="20" t="s">
        <v>17</v>
      </c>
      <c r="C26" s="20">
        <v>78699</v>
      </c>
      <c r="D26" s="20">
        <v>62970</v>
      </c>
      <c r="E26" s="20">
        <v>8802</v>
      </c>
      <c r="F26" s="20">
        <v>8812</v>
      </c>
      <c r="G26" s="20">
        <f>_xlfn.XLOOKUP(B26,Total!B:B,Total!K:K)</f>
        <v>1133</v>
      </c>
      <c r="H26" s="20">
        <f>_xlfn.XLOOKUP(B26,Total!B:B,Total!BC:BC)</f>
        <v>1229</v>
      </c>
      <c r="I26" s="51">
        <f t="shared" si="0"/>
        <v>1.79926949340956E-2</v>
      </c>
      <c r="J26" s="51">
        <f t="shared" si="1"/>
        <v>1.9517230427187549E-2</v>
      </c>
      <c r="K26" s="20">
        <f t="shared" si="2"/>
        <v>96</v>
      </c>
      <c r="L26" s="51"/>
      <c r="M26" s="51">
        <f t="shared" si="3"/>
        <v>0.12872074528516247</v>
      </c>
      <c r="N26" s="51">
        <f t="shared" si="5"/>
        <v>0.13946890603722198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 spans="1:32" x14ac:dyDescent="0.25">
      <c r="A27" s="19" t="s">
        <v>20</v>
      </c>
      <c r="B27" s="19" t="s">
        <v>21</v>
      </c>
      <c r="C27" s="19">
        <v>61528</v>
      </c>
      <c r="D27" s="19">
        <v>47591</v>
      </c>
      <c r="E27" s="19">
        <v>6269</v>
      </c>
      <c r="F27" s="19">
        <v>6504</v>
      </c>
      <c r="G27" s="19">
        <f>_xlfn.XLOOKUP(B27,Total!B:B,Total!K:K)</f>
        <v>484</v>
      </c>
      <c r="H27" s="19">
        <f>_xlfn.XLOOKUP(B27,Total!B:B,Total!BC:BC)</f>
        <v>610</v>
      </c>
      <c r="I27" s="50">
        <f t="shared" si="0"/>
        <v>1.0169990124183143E-2</v>
      </c>
      <c r="J27" s="50">
        <f t="shared" si="1"/>
        <v>1.2817549536677103E-2</v>
      </c>
      <c r="K27" s="19">
        <f t="shared" si="2"/>
        <v>126</v>
      </c>
      <c r="L27" s="50">
        <f>(H27-G27)/G27</f>
        <v>0.26033057851239672</v>
      </c>
      <c r="M27" s="50">
        <f t="shared" si="3"/>
        <v>7.72052959004626E-2</v>
      </c>
      <c r="N27" s="50">
        <f t="shared" si="5"/>
        <v>9.378843788437885E-2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</row>
    <row r="28" spans="1:32" x14ac:dyDescent="0.25">
      <c r="A28" s="20" t="s">
        <v>34</v>
      </c>
      <c r="B28" s="20" t="s">
        <v>35</v>
      </c>
      <c r="C28" s="20">
        <v>43888</v>
      </c>
      <c r="D28" s="20">
        <v>32516</v>
      </c>
      <c r="E28" s="20">
        <v>4147</v>
      </c>
      <c r="F28" s="20">
        <v>4413</v>
      </c>
      <c r="G28" s="20">
        <f>_xlfn.XLOOKUP(B28,Total!B:B,Total!K:K)</f>
        <v>317</v>
      </c>
      <c r="H28" s="20">
        <f>_xlfn.XLOOKUP(B28,Total!B:B,Total!BC:BC)</f>
        <v>364</v>
      </c>
      <c r="I28" s="51">
        <f t="shared" si="0"/>
        <v>9.7490466232008858E-3</v>
      </c>
      <c r="J28" s="51">
        <f t="shared" si="1"/>
        <v>1.1194488867019313E-2</v>
      </c>
      <c r="K28" s="20">
        <f t="shared" si="2"/>
        <v>47</v>
      </c>
      <c r="L28" s="51"/>
      <c r="M28" s="51">
        <f t="shared" si="3"/>
        <v>7.6440800578731607E-2</v>
      </c>
      <c r="N28" s="51">
        <f t="shared" si="5"/>
        <v>8.2483571266711991E-2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</row>
    <row r="29" spans="1:32" x14ac:dyDescent="0.25">
      <c r="A29" s="19" t="s">
        <v>14</v>
      </c>
      <c r="B29" s="19" t="s">
        <v>15</v>
      </c>
      <c r="C29" s="19">
        <v>63949</v>
      </c>
      <c r="D29" s="19">
        <v>47439</v>
      </c>
      <c r="E29" s="19">
        <v>6061</v>
      </c>
      <c r="F29" s="19">
        <v>6301</v>
      </c>
      <c r="G29" s="19">
        <f>_xlfn.XLOOKUP(B29,Total!B:B,Total!K:K)</f>
        <v>717</v>
      </c>
      <c r="H29" s="19">
        <f>_xlfn.XLOOKUP(B29,Total!B:B,Total!BC:BC)</f>
        <v>914</v>
      </c>
      <c r="I29" s="50">
        <f t="shared" si="0"/>
        <v>1.5114146588250174E-2</v>
      </c>
      <c r="J29" s="50">
        <f t="shared" si="1"/>
        <v>1.9266847952106918E-2</v>
      </c>
      <c r="K29" s="19">
        <f t="shared" si="2"/>
        <v>197</v>
      </c>
      <c r="L29" s="50"/>
      <c r="M29" s="50">
        <f t="shared" si="3"/>
        <v>0.11829731067480614</v>
      </c>
      <c r="N29" s="50">
        <f t="shared" si="5"/>
        <v>0.14505634026345024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</row>
    <row r="30" spans="1:32" x14ac:dyDescent="0.25">
      <c r="A30" s="20" t="s">
        <v>67</v>
      </c>
      <c r="B30" s="20" t="s">
        <v>68</v>
      </c>
      <c r="C30" s="20">
        <v>3385</v>
      </c>
      <c r="D30" s="20">
        <v>2940</v>
      </c>
      <c r="E30" s="20">
        <v>39</v>
      </c>
      <c r="F30" s="20">
        <v>184</v>
      </c>
      <c r="G30" s="20">
        <f>_xlfn.XLOOKUP(B30,Total!B:B,Total!K:K)</f>
        <v>0</v>
      </c>
      <c r="H30" s="20">
        <f>_xlfn.XLOOKUP(B30,Total!B:B,Total!BC:BC)</f>
        <v>1</v>
      </c>
      <c r="I30" s="51">
        <f t="shared" si="0"/>
        <v>0</v>
      </c>
      <c r="J30" s="51">
        <f t="shared" si="1"/>
        <v>3.4013605442176868E-4</v>
      </c>
      <c r="K30" s="20">
        <f t="shared" si="2"/>
        <v>1</v>
      </c>
      <c r="L30" s="51"/>
      <c r="M30" s="51">
        <f t="shared" si="3"/>
        <v>0</v>
      </c>
      <c r="N30" s="51">
        <f t="shared" si="5"/>
        <v>5.434782608695652E-3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 spans="1:32" x14ac:dyDescent="0.25">
      <c r="A31" s="19" t="s">
        <v>65</v>
      </c>
      <c r="B31" s="19" t="s">
        <v>66</v>
      </c>
      <c r="C31" s="19">
        <v>9485</v>
      </c>
      <c r="D31" s="19">
        <v>8435</v>
      </c>
      <c r="E31" s="19">
        <v>193</v>
      </c>
      <c r="F31" s="19">
        <v>389</v>
      </c>
      <c r="G31" s="19">
        <f>_xlfn.XLOOKUP(B31,Total!B:B,Total!K:K)</f>
        <v>2</v>
      </c>
      <c r="H31" s="19">
        <f>_xlfn.XLOOKUP(B31,Total!B:B,Total!BC:BC)</f>
        <v>4</v>
      </c>
      <c r="I31" s="50">
        <f t="shared" si="0"/>
        <v>2.3710729104919976E-4</v>
      </c>
      <c r="J31" s="50">
        <f t="shared" si="1"/>
        <v>4.7421458209839952E-4</v>
      </c>
      <c r="K31" s="19">
        <f t="shared" si="2"/>
        <v>2</v>
      </c>
      <c r="L31" s="50"/>
      <c r="M31" s="50">
        <f t="shared" si="3"/>
        <v>1.0362694300518135E-2</v>
      </c>
      <c r="N31" s="50">
        <f t="shared" si="5"/>
        <v>1.0282776349614395E-2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 spans="1:32" x14ac:dyDescent="0.25">
      <c r="A32" s="20" t="s">
        <v>52</v>
      </c>
      <c r="B32" s="20" t="s">
        <v>53</v>
      </c>
      <c r="C32" s="20">
        <v>24308</v>
      </c>
      <c r="D32" s="20">
        <v>18586</v>
      </c>
      <c r="E32" s="20">
        <v>0</v>
      </c>
      <c r="F32" s="20">
        <v>0</v>
      </c>
      <c r="G32" s="20">
        <f>_xlfn.XLOOKUP(B32,Total!B:B,Total!K:K)</f>
        <v>0</v>
      </c>
      <c r="H32" s="20">
        <f>_xlfn.XLOOKUP(B32,Total!B:B,Total!BC:BC)</f>
        <v>0</v>
      </c>
      <c r="I32" s="51">
        <f t="shared" si="0"/>
        <v>0</v>
      </c>
      <c r="J32" s="51">
        <f t="shared" si="1"/>
        <v>0</v>
      </c>
      <c r="K32" s="20">
        <f t="shared" si="2"/>
        <v>0</v>
      </c>
      <c r="L32" s="51"/>
      <c r="M32" s="51"/>
      <c r="N32" s="51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</row>
    <row r="33" spans="1:32" x14ac:dyDescent="0.25">
      <c r="A33" s="19" t="s">
        <v>52</v>
      </c>
      <c r="B33" s="19" t="s">
        <v>58</v>
      </c>
      <c r="C33" s="19">
        <v>28896</v>
      </c>
      <c r="D33" s="19">
        <v>23559</v>
      </c>
      <c r="E33" s="19">
        <v>0</v>
      </c>
      <c r="F33" s="19">
        <v>0</v>
      </c>
      <c r="G33" s="19">
        <f>_xlfn.XLOOKUP(B33,Total!B:B,Total!K:K)</f>
        <v>0</v>
      </c>
      <c r="H33" s="19">
        <f>_xlfn.XLOOKUP(B33,Total!B:B,Total!BC:BC)</f>
        <v>0</v>
      </c>
      <c r="I33" s="50">
        <f t="shared" si="0"/>
        <v>0</v>
      </c>
      <c r="J33" s="50">
        <f t="shared" si="1"/>
        <v>0</v>
      </c>
      <c r="K33" s="19">
        <f t="shared" si="2"/>
        <v>0</v>
      </c>
      <c r="L33" s="50"/>
      <c r="M33" s="50"/>
      <c r="N33" s="50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 spans="1:32" x14ac:dyDescent="0.25">
      <c r="A34" s="20" t="s">
        <v>52</v>
      </c>
      <c r="B34" s="20" t="s">
        <v>59</v>
      </c>
      <c r="C34" s="20">
        <v>5607</v>
      </c>
      <c r="D34" s="20">
        <v>4206</v>
      </c>
      <c r="E34" s="20">
        <v>0</v>
      </c>
      <c r="F34" s="20">
        <v>0</v>
      </c>
      <c r="G34" s="20">
        <f>_xlfn.XLOOKUP(B34,Total!B:B,Total!K:K)</f>
        <v>0</v>
      </c>
      <c r="H34" s="20">
        <f>_xlfn.XLOOKUP(B34,Total!B:B,Total!BC:BC)</f>
        <v>0</v>
      </c>
      <c r="I34" s="51">
        <f t="shared" si="0"/>
        <v>0</v>
      </c>
      <c r="J34" s="51">
        <f t="shared" si="1"/>
        <v>0</v>
      </c>
      <c r="K34" s="20">
        <f t="shared" si="2"/>
        <v>0</v>
      </c>
      <c r="L34" s="51"/>
      <c r="M34" s="51"/>
      <c r="N34" s="51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 spans="1:32" x14ac:dyDescent="0.25">
      <c r="A35" s="19" t="s">
        <v>52</v>
      </c>
      <c r="B35" s="19" t="s">
        <v>64</v>
      </c>
      <c r="C35" s="19">
        <v>3041</v>
      </c>
      <c r="D35" s="19">
        <v>2409</v>
      </c>
      <c r="E35" s="19">
        <v>0</v>
      </c>
      <c r="F35" s="19">
        <v>0</v>
      </c>
      <c r="G35" s="19">
        <f>_xlfn.XLOOKUP(B35,Total!B:B,Total!K:K)</f>
        <v>0</v>
      </c>
      <c r="H35" s="19">
        <f>_xlfn.XLOOKUP(B35,Total!B:B,Total!BC:BC)</f>
        <v>0</v>
      </c>
      <c r="I35" s="50">
        <f t="shared" si="0"/>
        <v>0</v>
      </c>
      <c r="J35" s="50">
        <f t="shared" si="1"/>
        <v>0</v>
      </c>
      <c r="K35" s="19">
        <f t="shared" si="2"/>
        <v>0</v>
      </c>
      <c r="L35" s="50"/>
      <c r="M35" s="50"/>
      <c r="N35" s="50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 spans="1:32" x14ac:dyDescent="0.25">
      <c r="A36" s="20" t="s">
        <v>52</v>
      </c>
      <c r="B36" s="20" t="s">
        <v>69</v>
      </c>
      <c r="C36" s="20">
        <v>4493</v>
      </c>
      <c r="D36" s="20">
        <v>3426</v>
      </c>
      <c r="E36" s="20">
        <v>0</v>
      </c>
      <c r="F36" s="20">
        <v>0</v>
      </c>
      <c r="G36" s="20">
        <f>_xlfn.XLOOKUP(B36,Total!B:B,Total!K:K)</f>
        <v>0</v>
      </c>
      <c r="H36" s="20">
        <f>_xlfn.XLOOKUP(B36,Total!B:B,Total!BC:BC)</f>
        <v>0</v>
      </c>
      <c r="I36" s="51">
        <f t="shared" si="0"/>
        <v>0</v>
      </c>
      <c r="J36" s="51">
        <f t="shared" si="1"/>
        <v>0</v>
      </c>
      <c r="K36" s="20">
        <f t="shared" si="2"/>
        <v>0</v>
      </c>
      <c r="L36" s="51"/>
      <c r="M36" s="51"/>
      <c r="N36" s="51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 spans="1:32" x14ac:dyDescent="0.25">
      <c r="A37" s="19" t="s">
        <v>52</v>
      </c>
      <c r="B37" s="19" t="s">
        <v>70</v>
      </c>
      <c r="C37" s="19">
        <v>3943</v>
      </c>
      <c r="D37" s="19">
        <v>3266</v>
      </c>
      <c r="E37" s="19">
        <v>0</v>
      </c>
      <c r="F37" s="19">
        <v>0</v>
      </c>
      <c r="G37" s="19">
        <f>_xlfn.XLOOKUP(B37,Total!B:B,Total!K:K)</f>
        <v>0</v>
      </c>
      <c r="H37" s="19">
        <f>_xlfn.XLOOKUP(B37,Total!B:B,Total!BC:BC)</f>
        <v>0</v>
      </c>
      <c r="I37" s="50">
        <f t="shared" si="0"/>
        <v>0</v>
      </c>
      <c r="J37" s="50">
        <f t="shared" si="1"/>
        <v>0</v>
      </c>
      <c r="K37" s="19">
        <f t="shared" si="2"/>
        <v>0</v>
      </c>
      <c r="L37" s="50"/>
      <c r="M37" s="50"/>
      <c r="N37" s="50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8" spans="1:32" x14ac:dyDescent="0.25">
      <c r="A38" s="20" t="s">
        <v>52</v>
      </c>
      <c r="B38" s="20" t="s">
        <v>71</v>
      </c>
      <c r="C38" s="20">
        <v>3240</v>
      </c>
      <c r="D38" s="20">
        <v>2762</v>
      </c>
      <c r="E38" s="20">
        <v>0</v>
      </c>
      <c r="F38" s="20">
        <v>0</v>
      </c>
      <c r="G38" s="20">
        <f>_xlfn.XLOOKUP(B38,Total!B:B,Total!K:K)</f>
        <v>0</v>
      </c>
      <c r="H38" s="20">
        <f>_xlfn.XLOOKUP(B38,Total!B:B,Total!BC:BC)</f>
        <v>0</v>
      </c>
      <c r="I38" s="51">
        <f t="shared" si="0"/>
        <v>0</v>
      </c>
      <c r="J38" s="51">
        <f t="shared" si="1"/>
        <v>0</v>
      </c>
      <c r="K38" s="20">
        <f t="shared" si="2"/>
        <v>0</v>
      </c>
      <c r="L38" s="51"/>
      <c r="M38" s="51"/>
      <c r="N38" s="51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</row>
    <row r="39" spans="1:32" x14ac:dyDescent="0.25">
      <c r="A39" s="19" t="s">
        <v>52</v>
      </c>
      <c r="B39" s="19" t="s">
        <v>72</v>
      </c>
      <c r="C39" s="19">
        <v>2867</v>
      </c>
      <c r="D39" s="19">
        <v>2490</v>
      </c>
      <c r="E39" s="19">
        <v>0</v>
      </c>
      <c r="F39" s="19">
        <v>0</v>
      </c>
      <c r="G39" s="19">
        <f>_xlfn.XLOOKUP(B39,Total!B:B,Total!K:K)</f>
        <v>0</v>
      </c>
      <c r="H39" s="19">
        <f>_xlfn.XLOOKUP(B39,Total!B:B,Total!BC:BC)</f>
        <v>0</v>
      </c>
      <c r="I39" s="50">
        <f t="shared" si="0"/>
        <v>0</v>
      </c>
      <c r="J39" s="50">
        <f t="shared" si="1"/>
        <v>0</v>
      </c>
      <c r="K39" s="19">
        <f t="shared" si="2"/>
        <v>0</v>
      </c>
      <c r="L39" s="50"/>
      <c r="M39" s="50"/>
      <c r="N39" s="50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</row>
    <row r="40" spans="1:32" x14ac:dyDescent="0.25">
      <c r="A40" s="20" t="s">
        <v>52</v>
      </c>
      <c r="B40" s="20" t="s">
        <v>73</v>
      </c>
      <c r="C40" s="20">
        <v>2481</v>
      </c>
      <c r="D40" s="20">
        <v>2078</v>
      </c>
      <c r="E40" s="20">
        <v>0</v>
      </c>
      <c r="F40" s="20">
        <v>0</v>
      </c>
      <c r="G40" s="20">
        <f>_xlfn.XLOOKUP(B40,Total!B:B,Total!K:K)</f>
        <v>0</v>
      </c>
      <c r="H40" s="20">
        <f>_xlfn.XLOOKUP(B40,Total!B:B,Total!BC:BC)</f>
        <v>0</v>
      </c>
      <c r="I40" s="51">
        <f t="shared" si="0"/>
        <v>0</v>
      </c>
      <c r="J40" s="51">
        <f t="shared" si="1"/>
        <v>0</v>
      </c>
      <c r="K40" s="20">
        <f t="shared" si="2"/>
        <v>0</v>
      </c>
      <c r="L40" s="51"/>
      <c r="M40" s="51"/>
      <c r="N40" s="51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2" ht="15.75" x14ac:dyDescent="0.25">
      <c r="A41" s="22"/>
      <c r="B41" s="22" t="s">
        <v>74</v>
      </c>
      <c r="C41" s="22">
        <f t="shared" ref="C41:H41" si="6">SUM(C3:C40)</f>
        <v>1602515</v>
      </c>
      <c r="D41" s="22">
        <f t="shared" si="6"/>
        <v>1252619</v>
      </c>
      <c r="E41" s="22">
        <f t="shared" si="6"/>
        <v>231116</v>
      </c>
      <c r="F41" s="22">
        <f t="shared" si="6"/>
        <v>240157</v>
      </c>
      <c r="G41" s="22">
        <f t="shared" si="6"/>
        <v>23101</v>
      </c>
      <c r="H41" s="22">
        <f t="shared" si="6"/>
        <v>27260</v>
      </c>
      <c r="I41" s="26">
        <f t="shared" si="0"/>
        <v>1.8442159986396502E-2</v>
      </c>
      <c r="J41" s="26">
        <f t="shared" si="1"/>
        <v>2.1762403412370401E-2</v>
      </c>
      <c r="K41" s="39">
        <f>SUM(K1:K40)</f>
        <v>4159</v>
      </c>
      <c r="L41" s="46">
        <f>(H41-G41)/G41</f>
        <v>0.18003549629886151</v>
      </c>
      <c r="M41" s="26">
        <f>G41/E41</f>
        <v>9.9954135585593379E-2</v>
      </c>
      <c r="N41" s="26">
        <f>H41/F41</f>
        <v>0.11350907947717535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spans="1:32" ht="15.75" x14ac:dyDescent="0.25"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51" spans="3:32" x14ac:dyDescent="0.25">
      <c r="C51" s="8"/>
      <c r="D51" s="8"/>
      <c r="E51" s="8"/>
      <c r="F51" s="8"/>
      <c r="G51" s="8"/>
      <c r="H51" s="8"/>
      <c r="I51" s="13"/>
      <c r="J51" s="13"/>
      <c r="K51" s="43"/>
      <c r="L51" s="13"/>
      <c r="M51" s="13"/>
      <c r="N51" s="13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3:32" x14ac:dyDescent="0.25">
      <c r="C52" s="8"/>
      <c r="D52" s="8"/>
      <c r="E52" s="8"/>
      <c r="F52" s="8"/>
      <c r="G52" s="8"/>
      <c r="H52" s="8"/>
      <c r="I52" s="13"/>
      <c r="J52" s="13"/>
      <c r="K52" s="43"/>
      <c r="L52" s="13"/>
      <c r="M52" s="13"/>
      <c r="N52" s="13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</sheetData>
  <autoFilter ref="A2:AF2" xr:uid="{1B2E81FE-C549-41FA-ADF8-4795A1C1312E}">
    <sortState xmlns:xlrd2="http://schemas.microsoft.com/office/spreadsheetml/2017/richdata2" ref="A3:AF41">
      <sortCondition descending="1" ref="J2"/>
    </sortState>
  </autoFilter>
  <conditionalFormatting sqref="I3:J40">
    <cfRule type="cellIs" dxfId="72" priority="3" operator="lessThan">
      <formula>$I$41</formula>
    </cfRule>
  </conditionalFormatting>
  <conditionalFormatting sqref="M3:N40">
    <cfRule type="cellIs" dxfId="71" priority="1" operator="lessThan">
      <formula>$I$41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6EDDC-48FD-4FEE-95B8-A70228174740}">
  <dimension ref="A1:AF52"/>
  <sheetViews>
    <sheetView showGridLines="0" zoomScale="85" zoomScaleNormal="85" workbookViewId="0">
      <pane xSplit="2" ySplit="2" topLeftCell="C15" activePane="bottomRight" state="frozen"/>
      <selection activeCell="K18" sqref="K18"/>
      <selection pane="topRight" activeCell="K18" sqref="K18"/>
      <selection pane="bottomLeft" activeCell="K18" sqref="K18"/>
      <selection pane="bottomRight" activeCell="H43" sqref="H43"/>
    </sheetView>
  </sheetViews>
  <sheetFormatPr defaultRowHeight="15" x14ac:dyDescent="0.25"/>
  <cols>
    <col min="1" max="2" width="19.28515625" style="7" customWidth="1"/>
    <col min="3" max="4" width="12.140625" style="7" bestFit="1" customWidth="1"/>
    <col min="5" max="5" width="12.140625" style="7" customWidth="1"/>
    <col min="6" max="6" width="21.5703125" style="7" bestFit="1" customWidth="1"/>
    <col min="7" max="8" width="19.28515625" style="7" customWidth="1"/>
    <col min="9" max="9" width="23.140625" style="7" hidden="1" customWidth="1"/>
    <col min="10" max="10" width="26.7109375" style="7" hidden="1" customWidth="1"/>
    <col min="11" max="11" width="26.7109375" style="42" customWidth="1"/>
    <col min="12" max="12" width="24.5703125" style="12" customWidth="1"/>
    <col min="13" max="13" width="35.140625" style="7" bestFit="1" customWidth="1"/>
    <col min="14" max="14" width="33.85546875" style="7" bestFit="1" customWidth="1"/>
    <col min="15" max="32" width="15.140625" style="7" bestFit="1" customWidth="1"/>
  </cols>
  <sheetData>
    <row r="1" spans="1:32" ht="18.75" x14ac:dyDescent="0.3">
      <c r="A1" s="10"/>
      <c r="B1" s="10"/>
      <c r="C1" s="11"/>
      <c r="D1" s="11"/>
      <c r="E1" s="11"/>
      <c r="F1" s="11"/>
      <c r="G1" s="64">
        <v>2025</v>
      </c>
      <c r="H1" s="64">
        <v>2026</v>
      </c>
      <c r="I1" s="59" t="s">
        <v>79</v>
      </c>
      <c r="J1" s="59"/>
      <c r="K1" s="66"/>
      <c r="L1" s="4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8.7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98</v>
      </c>
      <c r="F2" s="3" t="s">
        <v>94</v>
      </c>
      <c r="G2" s="3" t="s">
        <v>76</v>
      </c>
      <c r="H2" s="3" t="s">
        <v>76</v>
      </c>
      <c r="I2" s="9" t="s">
        <v>103</v>
      </c>
      <c r="J2" s="9" t="s">
        <v>103</v>
      </c>
      <c r="K2" s="41" t="s">
        <v>128</v>
      </c>
      <c r="L2" s="49" t="s">
        <v>127</v>
      </c>
      <c r="M2" s="3" t="s">
        <v>104</v>
      </c>
      <c r="N2" s="3" t="s">
        <v>105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s="19" t="s">
        <v>56</v>
      </c>
      <c r="B3" s="19" t="s">
        <v>57</v>
      </c>
      <c r="C3" s="19">
        <v>7920</v>
      </c>
      <c r="D3" s="19">
        <v>6833</v>
      </c>
      <c r="E3" s="19">
        <v>9307</v>
      </c>
      <c r="F3" s="19">
        <v>9261</v>
      </c>
      <c r="G3" s="19">
        <f>_xlfn.XLOOKUP(B3,Total!B:B,Total!L:L)</f>
        <v>536</v>
      </c>
      <c r="H3" s="19">
        <f>_xlfn.XLOOKUP(B3,Total!B:B,Total!BD:BD)</f>
        <v>399</v>
      </c>
      <c r="I3" s="36">
        <f t="shared" ref="I3:I41" si="0">G3/D3</f>
        <v>7.8442850870774183E-2</v>
      </c>
      <c r="J3" s="36">
        <f t="shared" ref="J3:J41" si="1">H3/D3</f>
        <v>5.8393092345968095E-2</v>
      </c>
      <c r="K3" s="19">
        <f t="shared" ref="K3:K40" si="2">H3-G3</f>
        <v>-137</v>
      </c>
      <c r="L3" s="50">
        <f>K3/G3</f>
        <v>-0.25559701492537312</v>
      </c>
      <c r="M3" s="50">
        <f t="shared" ref="M3:M31" si="3">G3/E3</f>
        <v>5.7591060492102719E-2</v>
      </c>
      <c r="N3" s="50">
        <f t="shared" ref="N3:N31" si="4">H3/F3</f>
        <v>4.3083900226757371E-2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 spans="1:32" x14ac:dyDescent="0.25">
      <c r="A4" s="20" t="s">
        <v>60</v>
      </c>
      <c r="B4" s="20" t="s">
        <v>61</v>
      </c>
      <c r="C4" s="20">
        <v>8533</v>
      </c>
      <c r="D4" s="20">
        <v>6447</v>
      </c>
      <c r="E4" s="20">
        <v>3155</v>
      </c>
      <c r="F4" s="20">
        <v>3424</v>
      </c>
      <c r="G4" s="20">
        <f>_xlfn.XLOOKUP(B4,Total!B:B,Total!L:L)</f>
        <v>366</v>
      </c>
      <c r="H4" s="20">
        <f>_xlfn.XLOOKUP(B4,Total!B:B,Total!BD:BD)</f>
        <v>379</v>
      </c>
      <c r="I4" s="37">
        <f t="shared" si="0"/>
        <v>5.6770590972545373E-2</v>
      </c>
      <c r="J4" s="37">
        <f t="shared" si="1"/>
        <v>5.8787032728400808E-2</v>
      </c>
      <c r="K4" s="20">
        <f t="shared" si="2"/>
        <v>13</v>
      </c>
      <c r="L4" s="51">
        <f t="shared" ref="L4:L25" si="5">(H4-G4)/G4</f>
        <v>3.5519125683060107E-2</v>
      </c>
      <c r="M4" s="51">
        <f t="shared" si="3"/>
        <v>0.11600633914421553</v>
      </c>
      <c r="N4" s="51">
        <f t="shared" si="4"/>
        <v>0.11068925233644859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x14ac:dyDescent="0.25">
      <c r="A5" s="19" t="s">
        <v>62</v>
      </c>
      <c r="B5" s="19" t="s">
        <v>63</v>
      </c>
      <c r="C5" s="19">
        <v>10771</v>
      </c>
      <c r="D5" s="19">
        <v>9026</v>
      </c>
      <c r="E5" s="19">
        <v>2881</v>
      </c>
      <c r="F5" s="19">
        <v>2976</v>
      </c>
      <c r="G5" s="19">
        <f>_xlfn.XLOOKUP(B5,Total!B:B,Total!L:L)</f>
        <v>337</v>
      </c>
      <c r="H5" s="19">
        <f>_xlfn.XLOOKUP(B5,Total!B:B,Total!BD:BD)</f>
        <v>335</v>
      </c>
      <c r="I5" s="36">
        <f t="shared" si="0"/>
        <v>3.7336583204077109E-2</v>
      </c>
      <c r="J5" s="36">
        <f t="shared" si="1"/>
        <v>3.7115001107910481E-2</v>
      </c>
      <c r="K5" s="19">
        <f t="shared" si="2"/>
        <v>-2</v>
      </c>
      <c r="L5" s="50">
        <f t="shared" si="5"/>
        <v>-5.9347181008902079E-3</v>
      </c>
      <c r="M5" s="50">
        <f t="shared" si="3"/>
        <v>0.11697327316903852</v>
      </c>
      <c r="N5" s="50">
        <f t="shared" si="4"/>
        <v>0.11256720430107527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</row>
    <row r="6" spans="1:32" x14ac:dyDescent="0.25">
      <c r="A6" s="20" t="s">
        <v>48</v>
      </c>
      <c r="B6" s="20" t="s">
        <v>49</v>
      </c>
      <c r="C6" s="20">
        <v>27775</v>
      </c>
      <c r="D6" s="20">
        <v>22138</v>
      </c>
      <c r="E6" s="20">
        <v>7374</v>
      </c>
      <c r="F6" s="20">
        <v>7529</v>
      </c>
      <c r="G6" s="20">
        <f>_xlfn.XLOOKUP(B6,Total!B:B,Total!L:L)</f>
        <v>650</v>
      </c>
      <c r="H6" s="20">
        <f>_xlfn.XLOOKUP(B6,Total!B:B,Total!BD:BD)</f>
        <v>566</v>
      </c>
      <c r="I6" s="37">
        <f t="shared" si="0"/>
        <v>2.936127924835125E-2</v>
      </c>
      <c r="J6" s="37">
        <f t="shared" si="1"/>
        <v>2.5566898545487396E-2</v>
      </c>
      <c r="K6" s="20">
        <f t="shared" si="2"/>
        <v>-84</v>
      </c>
      <c r="L6" s="51">
        <f t="shared" si="5"/>
        <v>-0.12923076923076923</v>
      </c>
      <c r="M6" s="51">
        <f t="shared" si="3"/>
        <v>8.8147545429888799E-2</v>
      </c>
      <c r="N6" s="51">
        <f t="shared" si="4"/>
        <v>7.5175986186744592E-2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7" spans="1:32" x14ac:dyDescent="0.25">
      <c r="A7" s="19" t="s">
        <v>6</v>
      </c>
      <c r="B7" s="19" t="s">
        <v>7</v>
      </c>
      <c r="C7" s="19">
        <v>227466</v>
      </c>
      <c r="D7" s="19">
        <v>177302</v>
      </c>
      <c r="E7" s="19">
        <v>45420</v>
      </c>
      <c r="F7" s="19">
        <v>47635</v>
      </c>
      <c r="G7" s="19">
        <f>_xlfn.XLOOKUP(B7,Total!B:B,Total!L:L)</f>
        <v>7209</v>
      </c>
      <c r="H7" s="19">
        <f>_xlfn.XLOOKUP(B7,Total!B:B,Total!BD:BD)</f>
        <v>7458</v>
      </c>
      <c r="I7" s="36">
        <f t="shared" si="0"/>
        <v>4.0659439825833886E-2</v>
      </c>
      <c r="J7" s="36">
        <f t="shared" si="1"/>
        <v>4.2063823307125693E-2</v>
      </c>
      <c r="K7" s="19">
        <f t="shared" si="2"/>
        <v>249</v>
      </c>
      <c r="L7" s="50">
        <f t="shared" si="5"/>
        <v>3.4540158135663752E-2</v>
      </c>
      <c r="M7" s="50">
        <f t="shared" si="3"/>
        <v>0.15871862615587848</v>
      </c>
      <c r="N7" s="50">
        <f t="shared" si="4"/>
        <v>0.15656555054056892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spans="1:32" x14ac:dyDescent="0.25">
      <c r="A8" s="20" t="s">
        <v>50</v>
      </c>
      <c r="B8" s="20" t="s">
        <v>51</v>
      </c>
      <c r="C8" s="20">
        <v>27716</v>
      </c>
      <c r="D8" s="20">
        <v>21269</v>
      </c>
      <c r="E8" s="20">
        <v>5730</v>
      </c>
      <c r="F8" s="20">
        <v>5947</v>
      </c>
      <c r="G8" s="20">
        <f>_xlfn.XLOOKUP(B8,Total!B:B,Total!L:L)</f>
        <v>537</v>
      </c>
      <c r="H8" s="20">
        <f>_xlfn.XLOOKUP(B8,Total!B:B,Total!BD:BD)</f>
        <v>559</v>
      </c>
      <c r="I8" s="37">
        <f t="shared" si="0"/>
        <v>2.5248013540834079E-2</v>
      </c>
      <c r="J8" s="37">
        <f t="shared" si="1"/>
        <v>2.6282382810663408E-2</v>
      </c>
      <c r="K8" s="20">
        <f t="shared" si="2"/>
        <v>22</v>
      </c>
      <c r="L8" s="51">
        <f t="shared" si="5"/>
        <v>4.0968342644320296E-2</v>
      </c>
      <c r="M8" s="51">
        <f t="shared" si="3"/>
        <v>9.3717277486910999E-2</v>
      </c>
      <c r="N8" s="51">
        <f t="shared" si="4"/>
        <v>9.3996973263830497E-2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2" x14ac:dyDescent="0.25">
      <c r="A9" s="19" t="s">
        <v>22</v>
      </c>
      <c r="B9" s="19" t="s">
        <v>23</v>
      </c>
      <c r="C9" s="19">
        <v>48079</v>
      </c>
      <c r="D9" s="19">
        <v>36276</v>
      </c>
      <c r="E9" s="19">
        <v>8493</v>
      </c>
      <c r="F9" s="19">
        <v>8808</v>
      </c>
      <c r="G9" s="19">
        <f>_xlfn.XLOOKUP(B9,Total!B:B,Total!L:L)</f>
        <v>1385</v>
      </c>
      <c r="H9" s="19">
        <f>_xlfn.XLOOKUP(B9,Total!B:B,Total!BD:BD)</f>
        <v>1286</v>
      </c>
      <c r="I9" s="36">
        <f t="shared" si="0"/>
        <v>3.8179512625427278E-2</v>
      </c>
      <c r="J9" s="36">
        <f t="shared" si="1"/>
        <v>3.5450435549674718E-2</v>
      </c>
      <c r="K9" s="19">
        <f t="shared" si="2"/>
        <v>-99</v>
      </c>
      <c r="L9" s="50">
        <f t="shared" si="5"/>
        <v>-7.1480144404332133E-2</v>
      </c>
      <c r="M9" s="50">
        <f t="shared" si="3"/>
        <v>0.16307547391969857</v>
      </c>
      <c r="N9" s="50">
        <f t="shared" si="4"/>
        <v>0.14600363306085376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</row>
    <row r="10" spans="1:32" x14ac:dyDescent="0.25">
      <c r="A10" s="20" t="s">
        <v>30</v>
      </c>
      <c r="B10" s="20" t="s">
        <v>31</v>
      </c>
      <c r="C10" s="20">
        <v>18486</v>
      </c>
      <c r="D10" s="20">
        <v>14806</v>
      </c>
      <c r="E10" s="20">
        <v>3610</v>
      </c>
      <c r="F10" s="20">
        <v>3691</v>
      </c>
      <c r="G10" s="20">
        <f>_xlfn.XLOOKUP(B10,Total!B:B,Total!L:L)</f>
        <v>197</v>
      </c>
      <c r="H10" s="20">
        <f>_xlfn.XLOOKUP(B10,Total!B:B,Total!BD:BD)</f>
        <v>195</v>
      </c>
      <c r="I10" s="37">
        <f t="shared" si="0"/>
        <v>1.3305416722950155E-2</v>
      </c>
      <c r="J10" s="37">
        <f t="shared" si="1"/>
        <v>1.3170336350128327E-2</v>
      </c>
      <c r="K10" s="20">
        <f t="shared" si="2"/>
        <v>-2</v>
      </c>
      <c r="L10" s="51">
        <f t="shared" si="5"/>
        <v>-1.015228426395939E-2</v>
      </c>
      <c r="M10" s="51">
        <f t="shared" si="3"/>
        <v>5.4570637119113571E-2</v>
      </c>
      <c r="N10" s="51">
        <f t="shared" si="4"/>
        <v>5.2831211053914931E-2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1:32" x14ac:dyDescent="0.25">
      <c r="A11" s="19" t="s">
        <v>18</v>
      </c>
      <c r="B11" s="19" t="s">
        <v>19</v>
      </c>
      <c r="C11" s="19">
        <v>64742</v>
      </c>
      <c r="D11" s="19">
        <v>50171</v>
      </c>
      <c r="E11" s="19">
        <v>11839</v>
      </c>
      <c r="F11" s="19">
        <v>11901</v>
      </c>
      <c r="G11" s="19">
        <f>_xlfn.XLOOKUP(B11,Total!B:B,Total!L:L)</f>
        <v>775</v>
      </c>
      <c r="H11" s="19">
        <f>_xlfn.XLOOKUP(B11,Total!B:B,Total!BD:BD)</f>
        <v>780</v>
      </c>
      <c r="I11" s="36">
        <f t="shared" si="0"/>
        <v>1.5447170676287099E-2</v>
      </c>
      <c r="J11" s="36">
        <f t="shared" si="1"/>
        <v>1.5546829841940564E-2</v>
      </c>
      <c r="K11" s="19">
        <f t="shared" si="2"/>
        <v>5</v>
      </c>
      <c r="L11" s="50">
        <f t="shared" si="5"/>
        <v>6.4516129032258064E-3</v>
      </c>
      <c r="M11" s="50">
        <f t="shared" si="3"/>
        <v>6.5461609933271395E-2</v>
      </c>
      <c r="N11" s="50">
        <f t="shared" si="4"/>
        <v>6.5540710864633228E-2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 spans="1:32" x14ac:dyDescent="0.25">
      <c r="A12" s="20" t="s">
        <v>46</v>
      </c>
      <c r="B12" s="20" t="s">
        <v>47</v>
      </c>
      <c r="C12" s="20">
        <v>22815</v>
      </c>
      <c r="D12" s="20">
        <v>17367</v>
      </c>
      <c r="E12" s="20">
        <v>3945</v>
      </c>
      <c r="F12" s="20">
        <v>4126</v>
      </c>
      <c r="G12" s="20">
        <f>_xlfn.XLOOKUP(B12,Total!B:B,Total!L:L)</f>
        <v>398</v>
      </c>
      <c r="H12" s="20">
        <f>_xlfn.XLOOKUP(B12,Total!B:B,Total!BD:BD)</f>
        <v>448</v>
      </c>
      <c r="I12" s="37">
        <f t="shared" si="0"/>
        <v>2.2917026544596073E-2</v>
      </c>
      <c r="J12" s="37">
        <f t="shared" si="1"/>
        <v>2.5796049979846837E-2</v>
      </c>
      <c r="K12" s="20">
        <f t="shared" si="2"/>
        <v>50</v>
      </c>
      <c r="L12" s="51">
        <f t="shared" si="5"/>
        <v>0.12562814070351758</v>
      </c>
      <c r="M12" s="51">
        <f t="shared" si="3"/>
        <v>0.1008871989860583</v>
      </c>
      <c r="N12" s="51">
        <f t="shared" si="4"/>
        <v>0.10857973824527388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</row>
    <row r="13" spans="1:32" x14ac:dyDescent="0.25">
      <c r="A13" s="19" t="s">
        <v>12</v>
      </c>
      <c r="B13" s="19" t="s">
        <v>13</v>
      </c>
      <c r="C13" s="19">
        <v>82745</v>
      </c>
      <c r="D13" s="19">
        <v>65980</v>
      </c>
      <c r="E13" s="19">
        <v>14551</v>
      </c>
      <c r="F13" s="19">
        <v>15027</v>
      </c>
      <c r="G13" s="19">
        <f>_xlfn.XLOOKUP(B13,Total!B:B,Total!L:L)</f>
        <v>1521</v>
      </c>
      <c r="H13" s="19">
        <f>_xlfn.XLOOKUP(B13,Total!B:B,Total!BD:BD)</f>
        <v>1545</v>
      </c>
      <c r="I13" s="36">
        <f t="shared" si="0"/>
        <v>2.305244013337375E-2</v>
      </c>
      <c r="J13" s="36">
        <f t="shared" si="1"/>
        <v>2.3416186723249469E-2</v>
      </c>
      <c r="K13" s="19">
        <f t="shared" si="2"/>
        <v>24</v>
      </c>
      <c r="L13" s="50">
        <f t="shared" si="5"/>
        <v>1.5779092702169626E-2</v>
      </c>
      <c r="M13" s="50">
        <f t="shared" si="3"/>
        <v>0.1045288983575012</v>
      </c>
      <c r="N13" s="50">
        <f t="shared" si="4"/>
        <v>0.10281493312038331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 spans="1:32" x14ac:dyDescent="0.25">
      <c r="A14" s="20" t="s">
        <v>24</v>
      </c>
      <c r="B14" s="20" t="s">
        <v>25</v>
      </c>
      <c r="C14" s="20">
        <v>70975</v>
      </c>
      <c r="D14" s="20">
        <v>54812</v>
      </c>
      <c r="E14" s="20">
        <v>10092</v>
      </c>
      <c r="F14" s="20">
        <v>10670</v>
      </c>
      <c r="G14" s="20">
        <f>_xlfn.XLOOKUP(B14,Total!B:B,Total!L:L)</f>
        <v>622</v>
      </c>
      <c r="H14" s="20">
        <f>_xlfn.XLOOKUP(B14,Total!B:B,Total!BD:BD)</f>
        <v>756</v>
      </c>
      <c r="I14" s="37">
        <f t="shared" si="0"/>
        <v>1.134788002627162E-2</v>
      </c>
      <c r="J14" s="37">
        <f t="shared" si="1"/>
        <v>1.3792600160548785E-2</v>
      </c>
      <c r="K14" s="20">
        <f t="shared" si="2"/>
        <v>134</v>
      </c>
      <c r="L14" s="51">
        <f t="shared" si="5"/>
        <v>0.21543408360128619</v>
      </c>
      <c r="M14" s="51">
        <f t="shared" si="3"/>
        <v>6.1632976615140708E-2</v>
      </c>
      <c r="N14" s="51">
        <f t="shared" si="4"/>
        <v>7.0852858481724457E-2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</row>
    <row r="15" spans="1:32" x14ac:dyDescent="0.25">
      <c r="A15" s="19" t="s">
        <v>36</v>
      </c>
      <c r="B15" s="19" t="s">
        <v>37</v>
      </c>
      <c r="C15" s="19">
        <v>33008</v>
      </c>
      <c r="D15" s="19">
        <v>26385</v>
      </c>
      <c r="E15" s="19">
        <v>4844</v>
      </c>
      <c r="F15" s="19">
        <v>5105</v>
      </c>
      <c r="G15" s="19">
        <f>_xlfn.XLOOKUP(B15,Total!B:B,Total!L:L)</f>
        <v>388</v>
      </c>
      <c r="H15" s="19">
        <f>_xlfn.XLOOKUP(B15,Total!B:B,Total!BD:BD)</f>
        <v>416</v>
      </c>
      <c r="I15" s="36">
        <f t="shared" si="0"/>
        <v>1.470532499526246E-2</v>
      </c>
      <c r="J15" s="36">
        <f t="shared" si="1"/>
        <v>1.5766534015539131E-2</v>
      </c>
      <c r="K15" s="19">
        <f t="shared" si="2"/>
        <v>28</v>
      </c>
      <c r="L15" s="50">
        <f t="shared" si="5"/>
        <v>7.2164948453608241E-2</v>
      </c>
      <c r="M15" s="50">
        <f t="shared" si="3"/>
        <v>8.0099091659785307E-2</v>
      </c>
      <c r="N15" s="50">
        <f t="shared" si="4"/>
        <v>8.1488736532810968E-2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</row>
    <row r="16" spans="1:32" x14ac:dyDescent="0.25">
      <c r="A16" s="20" t="s">
        <v>38</v>
      </c>
      <c r="B16" s="20" t="s">
        <v>39</v>
      </c>
      <c r="C16" s="20">
        <v>40664</v>
      </c>
      <c r="D16" s="20">
        <v>31671</v>
      </c>
      <c r="E16" s="20">
        <v>5790</v>
      </c>
      <c r="F16" s="20">
        <v>6091</v>
      </c>
      <c r="G16" s="20">
        <f>_xlfn.XLOOKUP(B16,Total!B:B,Total!L:L)</f>
        <v>306</v>
      </c>
      <c r="H16" s="20">
        <f>_xlfn.XLOOKUP(B16,Total!B:B,Total!BD:BD)</f>
        <v>387</v>
      </c>
      <c r="I16" s="37">
        <f t="shared" si="0"/>
        <v>9.6618357487922701E-3</v>
      </c>
      <c r="J16" s="37">
        <f t="shared" si="1"/>
        <v>1.2219380505825519E-2</v>
      </c>
      <c r="K16" s="20">
        <f t="shared" si="2"/>
        <v>81</v>
      </c>
      <c r="L16" s="51">
        <f t="shared" si="5"/>
        <v>0.26470588235294118</v>
      </c>
      <c r="M16" s="51">
        <f t="shared" si="3"/>
        <v>5.284974093264249E-2</v>
      </c>
      <c r="N16" s="51">
        <f t="shared" si="4"/>
        <v>6.3536365128878669E-2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spans="1:32" x14ac:dyDescent="0.25">
      <c r="A17" s="19" t="s">
        <v>40</v>
      </c>
      <c r="B17" s="19" t="s">
        <v>41</v>
      </c>
      <c r="C17" s="19">
        <v>35566</v>
      </c>
      <c r="D17" s="19">
        <v>27813</v>
      </c>
      <c r="E17" s="19">
        <v>4960</v>
      </c>
      <c r="F17" s="19">
        <v>5153</v>
      </c>
      <c r="G17" s="19">
        <f>_xlfn.XLOOKUP(B17,Total!B:B,Total!L:L)</f>
        <v>467</v>
      </c>
      <c r="H17" s="19">
        <f>_xlfn.XLOOKUP(B17,Total!B:B,Total!BD:BD)</f>
        <v>425</v>
      </c>
      <c r="I17" s="36">
        <f t="shared" si="0"/>
        <v>1.679070938050552E-2</v>
      </c>
      <c r="J17" s="36">
        <f t="shared" si="1"/>
        <v>1.5280624168554273E-2</v>
      </c>
      <c r="K17" s="19">
        <f t="shared" si="2"/>
        <v>-42</v>
      </c>
      <c r="L17" s="50">
        <f t="shared" si="5"/>
        <v>-8.9935760171306209E-2</v>
      </c>
      <c r="M17" s="50">
        <f t="shared" si="3"/>
        <v>9.4153225806451607E-2</v>
      </c>
      <c r="N17" s="50">
        <f t="shared" si="4"/>
        <v>8.2476227440326025E-2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</row>
    <row r="18" spans="1:32" x14ac:dyDescent="0.25">
      <c r="A18" s="20" t="s">
        <v>42</v>
      </c>
      <c r="B18" s="20" t="s">
        <v>43</v>
      </c>
      <c r="C18" s="20">
        <v>30503</v>
      </c>
      <c r="D18" s="20">
        <v>23708</v>
      </c>
      <c r="E18" s="20">
        <v>4235</v>
      </c>
      <c r="F18" s="20">
        <v>4322</v>
      </c>
      <c r="G18" s="20">
        <f>_xlfn.XLOOKUP(B18,Total!B:B,Total!L:L)</f>
        <v>376</v>
      </c>
      <c r="H18" s="20">
        <f>_xlfn.XLOOKUP(B18,Total!B:B,Total!BD:BD)</f>
        <v>350</v>
      </c>
      <c r="I18" s="37">
        <f t="shared" si="0"/>
        <v>1.5859625442888478E-2</v>
      </c>
      <c r="J18" s="37">
        <f t="shared" si="1"/>
        <v>1.4762949215454698E-2</v>
      </c>
      <c r="K18" s="20">
        <f t="shared" si="2"/>
        <v>-26</v>
      </c>
      <c r="L18" s="51">
        <f t="shared" si="5"/>
        <v>-6.9148936170212769E-2</v>
      </c>
      <c r="M18" s="51">
        <f t="shared" si="3"/>
        <v>8.8783943329397874E-2</v>
      </c>
      <c r="N18" s="51">
        <f t="shared" si="4"/>
        <v>8.0981027302174921E-2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 spans="1:32" x14ac:dyDescent="0.25">
      <c r="A19" s="19" t="s">
        <v>28</v>
      </c>
      <c r="B19" s="19" t="s">
        <v>29</v>
      </c>
      <c r="C19" s="19">
        <v>82980</v>
      </c>
      <c r="D19" s="19">
        <v>66517</v>
      </c>
      <c r="E19" s="19">
        <v>11191</v>
      </c>
      <c r="F19" s="19">
        <v>11535</v>
      </c>
      <c r="G19" s="19">
        <f>_xlfn.XLOOKUP(B19,Total!B:B,Total!L:L)</f>
        <v>1159</v>
      </c>
      <c r="H19" s="19">
        <f>_xlfn.XLOOKUP(B19,Total!B:B,Total!BD:BD)</f>
        <v>1216</v>
      </c>
      <c r="I19" s="36">
        <f t="shared" si="0"/>
        <v>1.7424117142986004E-2</v>
      </c>
      <c r="J19" s="36">
        <f t="shared" si="1"/>
        <v>1.8281040936903348E-2</v>
      </c>
      <c r="K19" s="19">
        <f t="shared" si="2"/>
        <v>57</v>
      </c>
      <c r="L19" s="50">
        <f t="shared" si="5"/>
        <v>4.9180327868852458E-2</v>
      </c>
      <c r="M19" s="50">
        <f t="shared" si="3"/>
        <v>0.1035653650254669</v>
      </c>
      <c r="N19" s="50">
        <f t="shared" si="4"/>
        <v>0.10541829215431296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spans="1:32" x14ac:dyDescent="0.25">
      <c r="A20" s="20" t="s">
        <v>54</v>
      </c>
      <c r="B20" s="20" t="s">
        <v>55</v>
      </c>
      <c r="C20" s="20">
        <v>22868</v>
      </c>
      <c r="D20" s="20">
        <v>19137</v>
      </c>
      <c r="E20" s="20">
        <v>3058</v>
      </c>
      <c r="F20" s="20">
        <v>3239</v>
      </c>
      <c r="G20" s="20">
        <f>_xlfn.XLOOKUP(B20,Total!B:B,Total!L:L)</f>
        <v>194</v>
      </c>
      <c r="H20" s="20">
        <f>_xlfn.XLOOKUP(B20,Total!B:B,Total!BD:BD)</f>
        <v>217</v>
      </c>
      <c r="I20" s="37">
        <f t="shared" si="0"/>
        <v>1.013743010921252E-2</v>
      </c>
      <c r="J20" s="37">
        <f t="shared" si="1"/>
        <v>1.1339290379892356E-2</v>
      </c>
      <c r="K20" s="20">
        <f t="shared" si="2"/>
        <v>23</v>
      </c>
      <c r="L20" s="51">
        <f t="shared" si="5"/>
        <v>0.11855670103092783</v>
      </c>
      <c r="M20" s="51">
        <f t="shared" si="3"/>
        <v>6.3440156965336822E-2</v>
      </c>
      <c r="N20" s="51">
        <f t="shared" si="4"/>
        <v>6.6995986415560357E-2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  <row r="21" spans="1:32" x14ac:dyDescent="0.25">
      <c r="A21" s="19" t="s">
        <v>44</v>
      </c>
      <c r="B21" s="19" t="s">
        <v>45</v>
      </c>
      <c r="C21" s="19">
        <v>41799</v>
      </c>
      <c r="D21" s="19">
        <v>32724</v>
      </c>
      <c r="E21" s="19">
        <v>5358</v>
      </c>
      <c r="F21" s="19">
        <v>5514</v>
      </c>
      <c r="G21" s="19">
        <f>_xlfn.XLOOKUP(B21,Total!B:B,Total!L:L)</f>
        <v>373</v>
      </c>
      <c r="H21" s="19">
        <f>_xlfn.XLOOKUP(B21,Total!B:B,Total!BD:BD)</f>
        <v>343</v>
      </c>
      <c r="I21" s="36">
        <f t="shared" si="0"/>
        <v>1.1398362058428065E-2</v>
      </c>
      <c r="J21" s="36">
        <f t="shared" si="1"/>
        <v>1.0481603715927148E-2</v>
      </c>
      <c r="K21" s="19">
        <f t="shared" si="2"/>
        <v>-30</v>
      </c>
      <c r="L21" s="50">
        <f t="shared" si="5"/>
        <v>-8.0428954423592491E-2</v>
      </c>
      <c r="M21" s="50">
        <f t="shared" si="3"/>
        <v>6.9615528182157521E-2</v>
      </c>
      <c r="N21" s="50">
        <f t="shared" si="4"/>
        <v>6.2205295611171565E-2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</row>
    <row r="22" spans="1:32" x14ac:dyDescent="0.25">
      <c r="A22" s="20" t="s">
        <v>32</v>
      </c>
      <c r="B22" s="20" t="s">
        <v>33</v>
      </c>
      <c r="C22" s="20">
        <v>45749</v>
      </c>
      <c r="D22" s="20">
        <v>36111</v>
      </c>
      <c r="E22" s="20">
        <v>5637</v>
      </c>
      <c r="F22" s="20">
        <v>5922</v>
      </c>
      <c r="G22" s="20">
        <f>_xlfn.XLOOKUP(B22,Total!B:B,Total!L:L)</f>
        <v>495</v>
      </c>
      <c r="H22" s="20">
        <f>_xlfn.XLOOKUP(B22,Total!B:B,Total!BD:BD)</f>
        <v>478</v>
      </c>
      <c r="I22" s="37">
        <f t="shared" si="0"/>
        <v>1.3707734485336878E-2</v>
      </c>
      <c r="J22" s="37">
        <f t="shared" si="1"/>
        <v>1.323696380604248E-2</v>
      </c>
      <c r="K22" s="20">
        <f t="shared" si="2"/>
        <v>-17</v>
      </c>
      <c r="L22" s="51">
        <f t="shared" si="5"/>
        <v>-3.4343434343434343E-2</v>
      </c>
      <c r="M22" s="51">
        <f t="shared" si="3"/>
        <v>8.7812666311868015E-2</v>
      </c>
      <c r="N22" s="51">
        <f t="shared" si="4"/>
        <v>8.0715974332995613E-2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</row>
    <row r="23" spans="1:32" x14ac:dyDescent="0.25">
      <c r="A23" s="19" t="s">
        <v>10</v>
      </c>
      <c r="B23" s="19" t="s">
        <v>11</v>
      </c>
      <c r="C23" s="19">
        <v>109255</v>
      </c>
      <c r="D23" s="19">
        <v>84228</v>
      </c>
      <c r="E23" s="19">
        <v>13031</v>
      </c>
      <c r="F23" s="19">
        <v>13576</v>
      </c>
      <c r="G23" s="19">
        <f>_xlfn.XLOOKUP(B23,Total!B:B,Total!L:L)</f>
        <v>1547</v>
      </c>
      <c r="H23" s="19">
        <f>_xlfn.XLOOKUP(B23,Total!B:B,Total!BD:BD)</f>
        <v>1585</v>
      </c>
      <c r="I23" s="36">
        <f t="shared" si="0"/>
        <v>1.8366813886118629E-2</v>
      </c>
      <c r="J23" s="36">
        <f t="shared" si="1"/>
        <v>1.8817970271168733E-2</v>
      </c>
      <c r="K23" s="19">
        <f t="shared" si="2"/>
        <v>38</v>
      </c>
      <c r="L23" s="50">
        <f t="shared" si="5"/>
        <v>2.4563671622495151E-2</v>
      </c>
      <c r="M23" s="50">
        <f t="shared" si="3"/>
        <v>0.11871690583992019</v>
      </c>
      <c r="N23" s="50">
        <f t="shared" si="4"/>
        <v>0.11675014731879788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</row>
    <row r="24" spans="1:32" x14ac:dyDescent="0.25">
      <c r="A24" s="20" t="s">
        <v>26</v>
      </c>
      <c r="B24" s="20" t="s">
        <v>27</v>
      </c>
      <c r="C24" s="20">
        <v>55044</v>
      </c>
      <c r="D24" s="20">
        <v>41804</v>
      </c>
      <c r="E24" s="20">
        <v>5716</v>
      </c>
      <c r="F24" s="20">
        <v>5950</v>
      </c>
      <c r="G24" s="20">
        <f>_xlfn.XLOOKUP(B24,Total!B:B,Total!L:L)</f>
        <v>581</v>
      </c>
      <c r="H24" s="20">
        <f>_xlfn.XLOOKUP(B24,Total!B:B,Total!BD:BD)</f>
        <v>632</v>
      </c>
      <c r="I24" s="37">
        <f t="shared" si="0"/>
        <v>1.3898191560616209E-2</v>
      </c>
      <c r="J24" s="37">
        <f t="shared" si="1"/>
        <v>1.5118170509999043E-2</v>
      </c>
      <c r="K24" s="20">
        <f t="shared" si="2"/>
        <v>51</v>
      </c>
      <c r="L24" s="51">
        <f t="shared" si="5"/>
        <v>8.7779690189328741E-2</v>
      </c>
      <c r="M24" s="51">
        <f t="shared" si="3"/>
        <v>0.1016445066480056</v>
      </c>
      <c r="N24" s="51">
        <f t="shared" si="4"/>
        <v>0.10621848739495798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 spans="1:32" x14ac:dyDescent="0.25">
      <c r="A25" s="19" t="s">
        <v>8</v>
      </c>
      <c r="B25" s="19" t="s">
        <v>9</v>
      </c>
      <c r="C25" s="19">
        <v>147246</v>
      </c>
      <c r="D25" s="19">
        <v>115421</v>
      </c>
      <c r="E25" s="19">
        <v>15388</v>
      </c>
      <c r="F25" s="19">
        <v>16152</v>
      </c>
      <c r="G25" s="19">
        <f>_xlfn.XLOOKUP(B25,Total!B:B,Total!L:L)</f>
        <v>1058</v>
      </c>
      <c r="H25" s="19">
        <f>_xlfn.XLOOKUP(B25,Total!B:B,Total!BD:BD)</f>
        <v>1062</v>
      </c>
      <c r="I25" s="36">
        <f t="shared" si="0"/>
        <v>9.1664428483551521E-3</v>
      </c>
      <c r="J25" s="36">
        <f t="shared" si="1"/>
        <v>9.2010985869122597E-3</v>
      </c>
      <c r="K25" s="19">
        <f t="shared" si="2"/>
        <v>4</v>
      </c>
      <c r="L25" s="50">
        <f t="shared" si="5"/>
        <v>3.780718336483932E-3</v>
      </c>
      <c r="M25" s="50">
        <f t="shared" si="3"/>
        <v>6.8754873927735896E-2</v>
      </c>
      <c r="N25" s="50">
        <f t="shared" si="4"/>
        <v>6.5750371471025262E-2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spans="1:32" x14ac:dyDescent="0.25">
      <c r="A26" s="20" t="s">
        <v>16</v>
      </c>
      <c r="B26" s="20" t="s">
        <v>17</v>
      </c>
      <c r="C26" s="20">
        <v>78699</v>
      </c>
      <c r="D26" s="20">
        <v>62970</v>
      </c>
      <c r="E26" s="20">
        <v>8802</v>
      </c>
      <c r="F26" s="20">
        <v>8812</v>
      </c>
      <c r="G26" s="20">
        <f>_xlfn.XLOOKUP(B26,Total!B:B,Total!L:L)</f>
        <v>817</v>
      </c>
      <c r="H26" s="20">
        <f>_xlfn.XLOOKUP(B26,Total!B:B,Total!BD:BD)</f>
        <v>845</v>
      </c>
      <c r="I26" s="37">
        <f t="shared" si="0"/>
        <v>1.2974432269334604E-2</v>
      </c>
      <c r="J26" s="37">
        <f t="shared" si="1"/>
        <v>1.3419088454819756E-2</v>
      </c>
      <c r="K26" s="20">
        <f t="shared" si="2"/>
        <v>28</v>
      </c>
      <c r="L26" s="51"/>
      <c r="M26" s="51">
        <f t="shared" si="3"/>
        <v>9.2819813678709381E-2</v>
      </c>
      <c r="N26" s="51">
        <f t="shared" si="4"/>
        <v>9.5891965501588738E-2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 spans="1:32" x14ac:dyDescent="0.25">
      <c r="A27" s="19" t="s">
        <v>20</v>
      </c>
      <c r="B27" s="19" t="s">
        <v>21</v>
      </c>
      <c r="C27" s="19">
        <v>61528</v>
      </c>
      <c r="D27" s="19">
        <v>47591</v>
      </c>
      <c r="E27" s="19">
        <v>6269</v>
      </c>
      <c r="F27" s="19">
        <v>6504</v>
      </c>
      <c r="G27" s="19">
        <f>_xlfn.XLOOKUP(B27,Total!B:B,Total!L:L)</f>
        <v>395</v>
      </c>
      <c r="H27" s="19">
        <f>_xlfn.XLOOKUP(B27,Total!B:B,Total!BD:BD)</f>
        <v>406</v>
      </c>
      <c r="I27" s="36">
        <f t="shared" si="0"/>
        <v>8.2998886344056652E-3</v>
      </c>
      <c r="J27" s="36">
        <f t="shared" si="1"/>
        <v>8.5310247735916455E-3</v>
      </c>
      <c r="K27" s="19">
        <f t="shared" si="2"/>
        <v>11</v>
      </c>
      <c r="L27" s="50">
        <f>(H27-G27)/G27</f>
        <v>2.7848101265822784E-2</v>
      </c>
      <c r="M27" s="50">
        <f t="shared" si="3"/>
        <v>6.3008454298931246E-2</v>
      </c>
      <c r="N27" s="50">
        <f t="shared" si="4"/>
        <v>6.2423124231242313E-2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</row>
    <row r="28" spans="1:32" x14ac:dyDescent="0.25">
      <c r="A28" s="20" t="s">
        <v>34</v>
      </c>
      <c r="B28" s="20" t="s">
        <v>35</v>
      </c>
      <c r="C28" s="20">
        <v>43888</v>
      </c>
      <c r="D28" s="20">
        <v>32516</v>
      </c>
      <c r="E28" s="20">
        <v>4147</v>
      </c>
      <c r="F28" s="20">
        <v>4413</v>
      </c>
      <c r="G28" s="20">
        <f>_xlfn.XLOOKUP(B28,Total!B:B,Total!L:L)</f>
        <v>289</v>
      </c>
      <c r="H28" s="20">
        <f>_xlfn.XLOOKUP(B28,Total!B:B,Total!BD:BD)</f>
        <v>281</v>
      </c>
      <c r="I28" s="37">
        <f t="shared" si="0"/>
        <v>8.8879320949686313E-3</v>
      </c>
      <c r="J28" s="37">
        <f t="shared" si="1"/>
        <v>8.6418993726165572E-3</v>
      </c>
      <c r="K28" s="20">
        <f t="shared" si="2"/>
        <v>-8</v>
      </c>
      <c r="L28" s="51"/>
      <c r="M28" s="51">
        <f t="shared" si="3"/>
        <v>6.9688931757897268E-2</v>
      </c>
      <c r="N28" s="51">
        <f t="shared" si="4"/>
        <v>6.3675504192159532E-2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</row>
    <row r="29" spans="1:32" x14ac:dyDescent="0.25">
      <c r="A29" s="19" t="s">
        <v>14</v>
      </c>
      <c r="B29" s="19" t="s">
        <v>15</v>
      </c>
      <c r="C29" s="19">
        <v>63949</v>
      </c>
      <c r="D29" s="19">
        <v>47439</v>
      </c>
      <c r="E29" s="19">
        <v>6061</v>
      </c>
      <c r="F29" s="19">
        <v>6301</v>
      </c>
      <c r="G29" s="19">
        <f>_xlfn.XLOOKUP(B29,Total!B:B,Total!L:L)</f>
        <v>746</v>
      </c>
      <c r="H29" s="19">
        <f>_xlfn.XLOOKUP(B29,Total!B:B,Total!BD:BD)</f>
        <v>754</v>
      </c>
      <c r="I29" s="36">
        <f t="shared" si="0"/>
        <v>1.5725457956533653E-2</v>
      </c>
      <c r="J29" s="36">
        <f t="shared" si="1"/>
        <v>1.5894095575370477E-2</v>
      </c>
      <c r="K29" s="19">
        <f t="shared" si="2"/>
        <v>8</v>
      </c>
      <c r="L29" s="50"/>
      <c r="M29" s="50">
        <f t="shared" si="3"/>
        <v>0.12308199967002145</v>
      </c>
      <c r="N29" s="50">
        <f t="shared" si="4"/>
        <v>0.11966354546897318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</row>
    <row r="30" spans="1:32" x14ac:dyDescent="0.25">
      <c r="A30" s="20" t="s">
        <v>67</v>
      </c>
      <c r="B30" s="20" t="s">
        <v>68</v>
      </c>
      <c r="C30" s="20">
        <v>3385</v>
      </c>
      <c r="D30" s="20">
        <v>2940</v>
      </c>
      <c r="E30" s="20">
        <v>39</v>
      </c>
      <c r="F30" s="20">
        <v>184</v>
      </c>
      <c r="G30" s="20">
        <f>_xlfn.XLOOKUP(B30,Total!B:B,Total!L:L)</f>
        <v>0</v>
      </c>
      <c r="H30" s="20">
        <f>_xlfn.XLOOKUP(B30,Total!B:B,Total!BD:BD)</f>
        <v>1</v>
      </c>
      <c r="I30" s="37">
        <f t="shared" si="0"/>
        <v>0</v>
      </c>
      <c r="J30" s="37">
        <f t="shared" si="1"/>
        <v>3.4013605442176868E-4</v>
      </c>
      <c r="K30" s="20">
        <f t="shared" si="2"/>
        <v>1</v>
      </c>
      <c r="L30" s="51"/>
      <c r="M30" s="51">
        <f t="shared" si="3"/>
        <v>0</v>
      </c>
      <c r="N30" s="51">
        <f t="shared" si="4"/>
        <v>5.434782608695652E-3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 spans="1:32" x14ac:dyDescent="0.25">
      <c r="A31" s="19" t="s">
        <v>65</v>
      </c>
      <c r="B31" s="19" t="s">
        <v>66</v>
      </c>
      <c r="C31" s="19">
        <v>9485</v>
      </c>
      <c r="D31" s="19">
        <v>8435</v>
      </c>
      <c r="E31" s="19">
        <v>193</v>
      </c>
      <c r="F31" s="19">
        <v>389</v>
      </c>
      <c r="G31" s="19">
        <f>_xlfn.XLOOKUP(B31,Total!B:B,Total!L:L)</f>
        <v>0</v>
      </c>
      <c r="H31" s="19">
        <f>_xlfn.XLOOKUP(B31,Total!B:B,Total!BD:BD)</f>
        <v>3</v>
      </c>
      <c r="I31" s="36">
        <f t="shared" si="0"/>
        <v>0</v>
      </c>
      <c r="J31" s="36">
        <f t="shared" si="1"/>
        <v>3.5566093657379963E-4</v>
      </c>
      <c r="K31" s="19">
        <f t="shared" si="2"/>
        <v>3</v>
      </c>
      <c r="L31" s="50"/>
      <c r="M31" s="74">
        <f t="shared" si="3"/>
        <v>0</v>
      </c>
      <c r="N31" s="74">
        <f t="shared" si="4"/>
        <v>7.7120822622107968E-3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 spans="1:32" x14ac:dyDescent="0.25">
      <c r="A32" s="20" t="s">
        <v>52</v>
      </c>
      <c r="B32" s="20" t="s">
        <v>53</v>
      </c>
      <c r="C32" s="20">
        <v>24308</v>
      </c>
      <c r="D32" s="20">
        <v>18586</v>
      </c>
      <c r="E32" s="20">
        <v>0</v>
      </c>
      <c r="F32" s="20">
        <v>0</v>
      </c>
      <c r="G32" s="20">
        <f>_xlfn.XLOOKUP(B32,Total!B:B,Total!L:L)</f>
        <v>0</v>
      </c>
      <c r="H32" s="20">
        <f>_xlfn.XLOOKUP(B32,Total!B:B,Total!BD:BD)</f>
        <v>0</v>
      </c>
      <c r="I32" s="37">
        <f t="shared" si="0"/>
        <v>0</v>
      </c>
      <c r="J32" s="37">
        <f t="shared" si="1"/>
        <v>0</v>
      </c>
      <c r="K32" s="20">
        <f t="shared" si="2"/>
        <v>0</v>
      </c>
      <c r="L32" s="51"/>
      <c r="M32" s="51"/>
      <c r="N32" s="51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</row>
    <row r="33" spans="1:32" x14ac:dyDescent="0.25">
      <c r="A33" s="19" t="s">
        <v>52</v>
      </c>
      <c r="B33" s="19" t="s">
        <v>58</v>
      </c>
      <c r="C33" s="19">
        <v>28896</v>
      </c>
      <c r="D33" s="19">
        <v>23559</v>
      </c>
      <c r="E33" s="19">
        <v>0</v>
      </c>
      <c r="F33" s="19">
        <v>0</v>
      </c>
      <c r="G33" s="19">
        <f>_xlfn.XLOOKUP(B33,Total!B:B,Total!L:L)</f>
        <v>0</v>
      </c>
      <c r="H33" s="19">
        <f>_xlfn.XLOOKUP(B33,Total!B:B,Total!BD:BD)</f>
        <v>0</v>
      </c>
      <c r="I33" s="36">
        <f t="shared" si="0"/>
        <v>0</v>
      </c>
      <c r="J33" s="36">
        <f t="shared" si="1"/>
        <v>0</v>
      </c>
      <c r="K33" s="19">
        <f t="shared" si="2"/>
        <v>0</v>
      </c>
      <c r="L33" s="50"/>
      <c r="M33" s="50"/>
      <c r="N33" s="50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 spans="1:32" x14ac:dyDescent="0.25">
      <c r="A34" s="20" t="s">
        <v>52</v>
      </c>
      <c r="B34" s="20" t="s">
        <v>59</v>
      </c>
      <c r="C34" s="20">
        <v>5607</v>
      </c>
      <c r="D34" s="20">
        <v>4206</v>
      </c>
      <c r="E34" s="20">
        <v>0</v>
      </c>
      <c r="F34" s="20">
        <v>0</v>
      </c>
      <c r="G34" s="20">
        <f>_xlfn.XLOOKUP(B34,Total!B:B,Total!L:L)</f>
        <v>0</v>
      </c>
      <c r="H34" s="20">
        <f>_xlfn.XLOOKUP(B34,Total!B:B,Total!BD:BD)</f>
        <v>0</v>
      </c>
      <c r="I34" s="37">
        <f t="shared" si="0"/>
        <v>0</v>
      </c>
      <c r="J34" s="37">
        <f t="shared" si="1"/>
        <v>0</v>
      </c>
      <c r="K34" s="20">
        <f t="shared" si="2"/>
        <v>0</v>
      </c>
      <c r="L34" s="51"/>
      <c r="M34" s="51"/>
      <c r="N34" s="51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 spans="1:32" x14ac:dyDescent="0.25">
      <c r="A35" s="19" t="s">
        <v>52</v>
      </c>
      <c r="B35" s="19" t="s">
        <v>64</v>
      </c>
      <c r="C35" s="19">
        <v>3041</v>
      </c>
      <c r="D35" s="19">
        <v>2409</v>
      </c>
      <c r="E35" s="19">
        <v>0</v>
      </c>
      <c r="F35" s="19">
        <v>0</v>
      </c>
      <c r="G35" s="19">
        <f>_xlfn.XLOOKUP(B35,Total!B:B,Total!L:L)</f>
        <v>0</v>
      </c>
      <c r="H35" s="19">
        <f>_xlfn.XLOOKUP(B35,Total!B:B,Total!BD:BD)</f>
        <v>0</v>
      </c>
      <c r="I35" s="36">
        <f t="shared" si="0"/>
        <v>0</v>
      </c>
      <c r="J35" s="36">
        <f t="shared" si="1"/>
        <v>0</v>
      </c>
      <c r="K35" s="19">
        <f t="shared" si="2"/>
        <v>0</v>
      </c>
      <c r="L35" s="50"/>
      <c r="M35" s="50"/>
      <c r="N35" s="50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 spans="1:32" x14ac:dyDescent="0.25">
      <c r="A36" s="20" t="s">
        <v>52</v>
      </c>
      <c r="B36" s="20" t="s">
        <v>69</v>
      </c>
      <c r="C36" s="20">
        <v>4493</v>
      </c>
      <c r="D36" s="20">
        <v>3426</v>
      </c>
      <c r="E36" s="20">
        <v>0</v>
      </c>
      <c r="F36" s="20">
        <v>0</v>
      </c>
      <c r="G36" s="20">
        <f>_xlfn.XLOOKUP(B36,Total!B:B,Total!L:L)</f>
        <v>0</v>
      </c>
      <c r="H36" s="20">
        <f>_xlfn.XLOOKUP(B36,Total!B:B,Total!BD:BD)</f>
        <v>0</v>
      </c>
      <c r="I36" s="37">
        <f t="shared" si="0"/>
        <v>0</v>
      </c>
      <c r="J36" s="37">
        <f t="shared" si="1"/>
        <v>0</v>
      </c>
      <c r="K36" s="20">
        <f t="shared" si="2"/>
        <v>0</v>
      </c>
      <c r="L36" s="51"/>
      <c r="M36" s="51"/>
      <c r="N36" s="51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 spans="1:32" x14ac:dyDescent="0.25">
      <c r="A37" s="19" t="s">
        <v>52</v>
      </c>
      <c r="B37" s="19" t="s">
        <v>70</v>
      </c>
      <c r="C37" s="19">
        <v>3943</v>
      </c>
      <c r="D37" s="19">
        <v>3266</v>
      </c>
      <c r="E37" s="19">
        <v>0</v>
      </c>
      <c r="F37" s="19">
        <v>0</v>
      </c>
      <c r="G37" s="19">
        <f>_xlfn.XLOOKUP(B37,Total!B:B,Total!L:L)</f>
        <v>0</v>
      </c>
      <c r="H37" s="19">
        <f>_xlfn.XLOOKUP(B37,Total!B:B,Total!BD:BD)</f>
        <v>0</v>
      </c>
      <c r="I37" s="36">
        <f t="shared" si="0"/>
        <v>0</v>
      </c>
      <c r="J37" s="36">
        <f t="shared" si="1"/>
        <v>0</v>
      </c>
      <c r="K37" s="19">
        <f t="shared" si="2"/>
        <v>0</v>
      </c>
      <c r="L37" s="50"/>
      <c r="M37" s="50"/>
      <c r="N37" s="50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8" spans="1:32" x14ac:dyDescent="0.25">
      <c r="A38" s="20" t="s">
        <v>52</v>
      </c>
      <c r="B38" s="20" t="s">
        <v>71</v>
      </c>
      <c r="C38" s="20">
        <v>3240</v>
      </c>
      <c r="D38" s="20">
        <v>2762</v>
      </c>
      <c r="E38" s="20">
        <v>0</v>
      </c>
      <c r="F38" s="20">
        <v>0</v>
      </c>
      <c r="G38" s="20">
        <f>_xlfn.XLOOKUP(B38,Total!B:B,Total!L:L)</f>
        <v>0</v>
      </c>
      <c r="H38" s="20">
        <f>_xlfn.XLOOKUP(B38,Total!B:B,Total!BD:BD)</f>
        <v>0</v>
      </c>
      <c r="I38" s="37">
        <f t="shared" si="0"/>
        <v>0</v>
      </c>
      <c r="J38" s="37">
        <f t="shared" si="1"/>
        <v>0</v>
      </c>
      <c r="K38" s="20">
        <f t="shared" si="2"/>
        <v>0</v>
      </c>
      <c r="L38" s="51"/>
      <c r="M38" s="51"/>
      <c r="N38" s="51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</row>
    <row r="39" spans="1:32" x14ac:dyDescent="0.25">
      <c r="A39" s="19" t="s">
        <v>52</v>
      </c>
      <c r="B39" s="19" t="s">
        <v>72</v>
      </c>
      <c r="C39" s="19">
        <v>2867</v>
      </c>
      <c r="D39" s="19">
        <v>2490</v>
      </c>
      <c r="E39" s="19">
        <v>0</v>
      </c>
      <c r="F39" s="19">
        <v>0</v>
      </c>
      <c r="G39" s="19">
        <f>_xlfn.XLOOKUP(B39,Total!B:B,Total!L:L)</f>
        <v>0</v>
      </c>
      <c r="H39" s="19">
        <f>_xlfn.XLOOKUP(B39,Total!B:B,Total!BD:BD)</f>
        <v>0</v>
      </c>
      <c r="I39" s="36">
        <f t="shared" si="0"/>
        <v>0</v>
      </c>
      <c r="J39" s="36">
        <f t="shared" si="1"/>
        <v>0</v>
      </c>
      <c r="K39" s="19">
        <f t="shared" si="2"/>
        <v>0</v>
      </c>
      <c r="L39" s="50"/>
      <c r="M39" s="50"/>
      <c r="N39" s="50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</row>
    <row r="40" spans="1:32" x14ac:dyDescent="0.25">
      <c r="A40" s="20" t="s">
        <v>52</v>
      </c>
      <c r="B40" s="20" t="s">
        <v>73</v>
      </c>
      <c r="C40" s="20">
        <v>2481</v>
      </c>
      <c r="D40" s="20">
        <v>2078</v>
      </c>
      <c r="E40" s="20">
        <v>0</v>
      </c>
      <c r="F40" s="20">
        <v>0</v>
      </c>
      <c r="G40" s="20">
        <f>_xlfn.XLOOKUP(B40,Total!B:B,Total!L:L)</f>
        <v>0</v>
      </c>
      <c r="H40" s="20">
        <f>_xlfn.XLOOKUP(B40,Total!B:B,Total!BD:BD)</f>
        <v>0</v>
      </c>
      <c r="I40" s="37">
        <f t="shared" si="0"/>
        <v>0</v>
      </c>
      <c r="J40" s="37">
        <f t="shared" si="1"/>
        <v>0</v>
      </c>
      <c r="K40" s="20">
        <f t="shared" si="2"/>
        <v>0</v>
      </c>
      <c r="L40" s="51"/>
      <c r="M40" s="51"/>
      <c r="N40" s="51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2" ht="15.75" x14ac:dyDescent="0.25">
      <c r="A41" s="22"/>
      <c r="B41" s="22" t="s">
        <v>74</v>
      </c>
      <c r="C41" s="22">
        <f t="shared" ref="C41:H41" si="6">SUM(C3:C40)</f>
        <v>1602515</v>
      </c>
      <c r="D41" s="22">
        <f t="shared" si="6"/>
        <v>1252619</v>
      </c>
      <c r="E41" s="22">
        <f t="shared" si="6"/>
        <v>231116</v>
      </c>
      <c r="F41" s="22">
        <f t="shared" si="6"/>
        <v>240157</v>
      </c>
      <c r="G41" s="22">
        <f t="shared" si="6"/>
        <v>23724</v>
      </c>
      <c r="H41" s="22">
        <f t="shared" si="6"/>
        <v>24107</v>
      </c>
      <c r="I41" s="45">
        <f t="shared" si="0"/>
        <v>1.8939517922049721E-2</v>
      </c>
      <c r="J41" s="45">
        <f t="shared" si="1"/>
        <v>1.9245277295011493E-2</v>
      </c>
      <c r="K41" s="68">
        <f>SUM(K1:K40)</f>
        <v>383</v>
      </c>
      <c r="L41" s="38">
        <f>(H41-G41)/G41</f>
        <v>1.6143989209239588E-2</v>
      </c>
      <c r="M41" s="38">
        <f>G41/E41</f>
        <v>0.10264975163986916</v>
      </c>
      <c r="N41" s="38">
        <f>H41/F41</f>
        <v>0.1003801679734507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 spans="1:32" ht="15.75" x14ac:dyDescent="0.25"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 x14ac:dyDescent="0.25">
      <c r="H43" s="62"/>
    </row>
    <row r="51" spans="3:32" x14ac:dyDescent="0.25">
      <c r="C51" s="8"/>
      <c r="D51" s="8"/>
      <c r="E51" s="8"/>
      <c r="F51" s="8"/>
      <c r="I51" s="8"/>
      <c r="J51" s="8"/>
      <c r="K51" s="43"/>
      <c r="L51" s="13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  <row r="52" spans="3:32" x14ac:dyDescent="0.25">
      <c r="C52" s="8"/>
      <c r="D52" s="8"/>
      <c r="E52" s="8"/>
      <c r="F52" s="8"/>
      <c r="I52" s="8"/>
      <c r="J52" s="8"/>
      <c r="K52" s="43"/>
      <c r="L52" s="13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</row>
  </sheetData>
  <autoFilter ref="A2:AF2" xr:uid="{1B2E81FE-C549-41FA-ADF8-4795A1C1312E}">
    <sortState xmlns:xlrd2="http://schemas.microsoft.com/office/spreadsheetml/2017/richdata2" ref="A3:AF41">
      <sortCondition descending="1" ref="J2"/>
    </sortState>
  </autoFilter>
  <conditionalFormatting sqref="I3:I41">
    <cfRule type="cellIs" dxfId="70" priority="8" operator="lessThan">
      <formula>$I$40</formula>
    </cfRule>
    <cfRule type="cellIs" dxfId="69" priority="10" operator="lessThan">
      <formula>0.18</formula>
    </cfRule>
  </conditionalFormatting>
  <conditionalFormatting sqref="J3:J40">
    <cfRule type="cellIs" dxfId="68" priority="7" operator="lessThan">
      <formula>$J$40</formula>
    </cfRule>
    <cfRule type="cellIs" dxfId="67" priority="9" operator="lessThan">
      <formula>0.22</formula>
    </cfRule>
  </conditionalFormatting>
  <conditionalFormatting sqref="J41">
    <cfRule type="cellIs" dxfId="66" priority="5" operator="lessThan">
      <formula>$I$40</formula>
    </cfRule>
    <cfRule type="cellIs" dxfId="65" priority="6" operator="lessThan">
      <formula>0.18</formula>
    </cfRule>
  </conditionalFormatting>
  <conditionalFormatting sqref="M3:M31">
    <cfRule type="cellIs" dxfId="64" priority="4" operator="lessThan">
      <formula>$M$41</formula>
    </cfRule>
  </conditionalFormatting>
  <conditionalFormatting sqref="M32:N40">
    <cfRule type="cellIs" dxfId="63" priority="2" operator="lessThan">
      <formula>$L$40</formula>
    </cfRule>
  </conditionalFormatting>
  <conditionalFormatting sqref="N3:N30">
    <cfRule type="cellIs" dxfId="62" priority="3" operator="lessThan">
      <formula>$N$41</formula>
    </cfRule>
  </conditionalFormatting>
  <conditionalFormatting sqref="N31">
    <cfRule type="cellIs" dxfId="61" priority="1" operator="lessThan">
      <formula>$M$41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B571-B12B-492F-ACCF-E7D8A11CCE84}">
  <dimension ref="A1:AF51"/>
  <sheetViews>
    <sheetView showGridLines="0" zoomScale="85" zoomScaleNormal="85" workbookViewId="0">
      <pane xSplit="2" ySplit="2" topLeftCell="C3" activePane="bottomRight" state="frozen"/>
      <selection activeCell="K18" sqref="K18"/>
      <selection pane="topRight" activeCell="K18" sqref="K18"/>
      <selection pane="bottomLeft" activeCell="K18" sqref="K18"/>
      <selection pane="bottomRight" activeCell="K10" sqref="K10"/>
    </sheetView>
  </sheetViews>
  <sheetFormatPr defaultRowHeight="15" x14ac:dyDescent="0.25"/>
  <cols>
    <col min="1" max="2" width="19.28515625" style="7" customWidth="1"/>
    <col min="3" max="4" width="12.140625" style="7" bestFit="1" customWidth="1"/>
    <col min="5" max="5" width="12.140625" style="7" customWidth="1"/>
    <col min="6" max="8" width="21.5703125" style="7" bestFit="1" customWidth="1"/>
    <col min="9" max="9" width="23.140625" style="7" hidden="1" customWidth="1"/>
    <col min="10" max="10" width="26.7109375" style="7" hidden="1" customWidth="1"/>
    <col min="11" max="11" width="26.7109375" style="42" customWidth="1"/>
    <col min="12" max="12" width="24.5703125" style="12" customWidth="1"/>
    <col min="13" max="13" width="35.140625" style="7" bestFit="1" customWidth="1"/>
    <col min="14" max="14" width="33.85546875" style="7" bestFit="1" customWidth="1"/>
    <col min="15" max="32" width="15.140625" style="7" bestFit="1" customWidth="1"/>
  </cols>
  <sheetData>
    <row r="1" spans="1:32" ht="18.75" x14ac:dyDescent="0.3">
      <c r="A1" s="10"/>
      <c r="B1" s="10"/>
      <c r="C1" s="11"/>
      <c r="D1" s="11"/>
      <c r="E1" s="11"/>
      <c r="F1" s="11"/>
      <c r="G1" s="64">
        <v>2025</v>
      </c>
      <c r="H1" s="64">
        <v>2026</v>
      </c>
      <c r="I1" s="59" t="s">
        <v>79</v>
      </c>
      <c r="J1" s="59"/>
      <c r="K1" s="66"/>
      <c r="L1" s="4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8.7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98</v>
      </c>
      <c r="F2" s="3" t="s">
        <v>94</v>
      </c>
      <c r="G2" s="3" t="s">
        <v>76</v>
      </c>
      <c r="H2" s="3" t="s">
        <v>76</v>
      </c>
      <c r="I2" s="9" t="s">
        <v>103</v>
      </c>
      <c r="J2" s="9" t="s">
        <v>103</v>
      </c>
      <c r="K2" s="41" t="s">
        <v>128</v>
      </c>
      <c r="L2" s="49" t="s">
        <v>127</v>
      </c>
      <c r="M2" s="3" t="s">
        <v>104</v>
      </c>
      <c r="N2" s="3" t="s">
        <v>105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5">
      <c r="A3" s="19" t="s">
        <v>56</v>
      </c>
      <c r="B3" s="19" t="s">
        <v>57</v>
      </c>
      <c r="C3" s="19">
        <v>7920</v>
      </c>
      <c r="D3" s="19">
        <v>6833</v>
      </c>
      <c r="E3" s="19">
        <v>9307</v>
      </c>
      <c r="F3" s="19">
        <v>9261</v>
      </c>
      <c r="G3" s="19">
        <f>_xlfn.XLOOKUP(B3,Total!B:B,Total!M:M)</f>
        <v>189</v>
      </c>
      <c r="H3" s="19">
        <f>_xlfn.XLOOKUP(B3,Total!B:B,Total!BE:BE)</f>
        <v>158</v>
      </c>
      <c r="I3" s="36">
        <f t="shared" ref="I3:I41" si="0">G3/D3</f>
        <v>2.7659885848090152E-2</v>
      </c>
      <c r="J3" s="36">
        <f t="shared" ref="J3:J41" si="1">H3/D3</f>
        <v>2.3123079174593882E-2</v>
      </c>
      <c r="K3" s="19">
        <f t="shared" ref="K3:K40" si="2">H3-G3</f>
        <v>-31</v>
      </c>
      <c r="L3" s="50">
        <f>K3/G3</f>
        <v>-0.16402116402116401</v>
      </c>
      <c r="M3" s="23">
        <f t="shared" ref="M3:M31" si="3">G3/E3</f>
        <v>2.0307295583969057E-2</v>
      </c>
      <c r="N3" s="23">
        <f t="shared" ref="N3:N31" si="4">H3/F3</f>
        <v>1.7060792570996651E-2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</row>
    <row r="4" spans="1:32" x14ac:dyDescent="0.25">
      <c r="A4" s="20" t="s">
        <v>60</v>
      </c>
      <c r="B4" s="20" t="s">
        <v>61</v>
      </c>
      <c r="C4" s="20">
        <v>8533</v>
      </c>
      <c r="D4" s="20">
        <v>6447</v>
      </c>
      <c r="E4" s="20">
        <v>3155</v>
      </c>
      <c r="F4" s="20">
        <v>3424</v>
      </c>
      <c r="G4" s="20">
        <f>_xlfn.XLOOKUP(B4,Total!B:B,Total!M:M)</f>
        <v>185</v>
      </c>
      <c r="H4" s="20">
        <f>_xlfn.XLOOKUP(B4,Total!B:B,Total!BE:BE)</f>
        <v>196</v>
      </c>
      <c r="I4" s="37">
        <f t="shared" si="0"/>
        <v>2.869551729486583E-2</v>
      </c>
      <c r="J4" s="37">
        <f t="shared" si="1"/>
        <v>3.0401737242128121E-2</v>
      </c>
      <c r="K4" s="20">
        <f t="shared" si="2"/>
        <v>11</v>
      </c>
      <c r="L4" s="51">
        <f t="shared" ref="L4:L25" si="5">(H4-G4)/G4</f>
        <v>5.9459459459459463E-2</v>
      </c>
      <c r="M4" s="35">
        <f t="shared" si="3"/>
        <v>5.8637083993660855E-2</v>
      </c>
      <c r="N4" s="35">
        <f t="shared" si="4"/>
        <v>5.7242990654205607E-2</v>
      </c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</row>
    <row r="5" spans="1:32" x14ac:dyDescent="0.25">
      <c r="A5" s="19" t="s">
        <v>62</v>
      </c>
      <c r="B5" s="19" t="s">
        <v>63</v>
      </c>
      <c r="C5" s="19">
        <v>10771</v>
      </c>
      <c r="D5" s="19">
        <v>9026</v>
      </c>
      <c r="E5" s="19">
        <v>2881</v>
      </c>
      <c r="F5" s="19">
        <v>2976</v>
      </c>
      <c r="G5" s="19">
        <f>_xlfn.XLOOKUP(B5,Total!B:B,Total!M:M)</f>
        <v>102</v>
      </c>
      <c r="H5" s="19">
        <f>_xlfn.XLOOKUP(B5,Total!B:B,Total!BE:BE)</f>
        <v>108</v>
      </c>
      <c r="I5" s="36">
        <f t="shared" si="0"/>
        <v>1.1300686904498116E-2</v>
      </c>
      <c r="J5" s="36">
        <f t="shared" si="1"/>
        <v>1.1965433192998006E-2</v>
      </c>
      <c r="K5" s="19">
        <f t="shared" si="2"/>
        <v>6</v>
      </c>
      <c r="L5" s="50">
        <f t="shared" si="5"/>
        <v>5.8823529411764705E-2</v>
      </c>
      <c r="M5" s="23">
        <f t="shared" si="3"/>
        <v>3.5404373481430058E-2</v>
      </c>
      <c r="N5" s="23">
        <f t="shared" si="4"/>
        <v>3.6290322580645164E-2</v>
      </c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</row>
    <row r="6" spans="1:32" x14ac:dyDescent="0.25">
      <c r="A6" s="20" t="s">
        <v>48</v>
      </c>
      <c r="B6" s="20" t="s">
        <v>49</v>
      </c>
      <c r="C6" s="20">
        <v>27775</v>
      </c>
      <c r="D6" s="20">
        <v>22138</v>
      </c>
      <c r="E6" s="20">
        <v>7374</v>
      </c>
      <c r="F6" s="20">
        <v>7529</v>
      </c>
      <c r="G6" s="20">
        <f>_xlfn.XLOOKUP(B6,Total!B:B,Total!M:M)</f>
        <v>407</v>
      </c>
      <c r="H6" s="20">
        <f>_xlfn.XLOOKUP(B6,Total!B:B,Total!BE:BE)</f>
        <v>399</v>
      </c>
      <c r="I6" s="37">
        <f t="shared" si="0"/>
        <v>1.8384677929352247E-2</v>
      </c>
      <c r="J6" s="37">
        <f t="shared" si="1"/>
        <v>1.8023308338603307E-2</v>
      </c>
      <c r="K6" s="20">
        <f t="shared" si="2"/>
        <v>-8</v>
      </c>
      <c r="L6" s="51">
        <f t="shared" si="5"/>
        <v>-1.9656019656019656E-2</v>
      </c>
      <c r="M6" s="35">
        <f t="shared" si="3"/>
        <v>5.5193924599945758E-2</v>
      </c>
      <c r="N6" s="35">
        <f t="shared" si="4"/>
        <v>5.2995085668747513E-2</v>
      </c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7" spans="1:32" x14ac:dyDescent="0.25">
      <c r="A7" s="19" t="s">
        <v>6</v>
      </c>
      <c r="B7" s="19" t="s">
        <v>7</v>
      </c>
      <c r="C7" s="19">
        <v>227466</v>
      </c>
      <c r="D7" s="19">
        <v>177302</v>
      </c>
      <c r="E7" s="19">
        <v>45420</v>
      </c>
      <c r="F7" s="19">
        <v>47635</v>
      </c>
      <c r="G7" s="19">
        <f>_xlfn.XLOOKUP(B7,Total!B:B,Total!M:M)</f>
        <v>3597</v>
      </c>
      <c r="H7" s="19">
        <f>_xlfn.XLOOKUP(B7,Total!B:B,Total!BE:BE)</f>
        <v>3781</v>
      </c>
      <c r="I7" s="36">
        <f t="shared" si="0"/>
        <v>2.0287419205649117E-2</v>
      </c>
      <c r="J7" s="36">
        <f t="shared" si="1"/>
        <v>2.1325196557286437E-2</v>
      </c>
      <c r="K7" s="19">
        <f t="shared" si="2"/>
        <v>184</v>
      </c>
      <c r="L7" s="50">
        <f t="shared" si="5"/>
        <v>5.1153739227133725E-2</v>
      </c>
      <c r="M7" s="23">
        <f t="shared" si="3"/>
        <v>7.9194187582562747E-2</v>
      </c>
      <c r="N7" s="23">
        <f t="shared" si="4"/>
        <v>7.9374409572793111E-2</v>
      </c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spans="1:32" x14ac:dyDescent="0.25">
      <c r="A8" s="20" t="s">
        <v>50</v>
      </c>
      <c r="B8" s="20" t="s">
        <v>51</v>
      </c>
      <c r="C8" s="20">
        <v>27716</v>
      </c>
      <c r="D8" s="20">
        <v>21269</v>
      </c>
      <c r="E8" s="20">
        <v>5730</v>
      </c>
      <c r="F8" s="20">
        <v>5947</v>
      </c>
      <c r="G8" s="20">
        <f>_xlfn.XLOOKUP(B8,Total!B:B,Total!M:M)</f>
        <v>219</v>
      </c>
      <c r="H8" s="20">
        <f>_xlfn.XLOOKUP(B8,Total!B:B,Total!BE:BE)</f>
        <v>222</v>
      </c>
      <c r="I8" s="37">
        <f t="shared" si="0"/>
        <v>1.0296675913301049E-2</v>
      </c>
      <c r="J8" s="37">
        <f t="shared" si="1"/>
        <v>1.0437726268277775E-2</v>
      </c>
      <c r="K8" s="20">
        <f t="shared" si="2"/>
        <v>3</v>
      </c>
      <c r="L8" s="51">
        <f t="shared" si="5"/>
        <v>1.3698630136986301E-2</v>
      </c>
      <c r="M8" s="35">
        <f t="shared" si="3"/>
        <v>3.8219895287958112E-2</v>
      </c>
      <c r="N8" s="35">
        <f t="shared" si="4"/>
        <v>3.7329746090465778E-2</v>
      </c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</row>
    <row r="9" spans="1:32" x14ac:dyDescent="0.25">
      <c r="A9" s="19" t="s">
        <v>22</v>
      </c>
      <c r="B9" s="19" t="s">
        <v>23</v>
      </c>
      <c r="C9" s="19">
        <v>48079</v>
      </c>
      <c r="D9" s="19">
        <v>36276</v>
      </c>
      <c r="E9" s="19">
        <v>8493</v>
      </c>
      <c r="F9" s="19">
        <v>8808</v>
      </c>
      <c r="G9" s="19">
        <f>_xlfn.XLOOKUP(B9,Total!B:B,Total!M:M)</f>
        <v>908</v>
      </c>
      <c r="H9" s="19">
        <f>_xlfn.XLOOKUP(B9,Total!B:B,Total!BE:BE)</f>
        <v>928</v>
      </c>
      <c r="I9" s="36">
        <f t="shared" si="0"/>
        <v>2.5030323078619472E-2</v>
      </c>
      <c r="J9" s="36">
        <f t="shared" si="1"/>
        <v>2.5581651780791709E-2</v>
      </c>
      <c r="K9" s="19">
        <f t="shared" si="2"/>
        <v>20</v>
      </c>
      <c r="L9" s="50">
        <f t="shared" si="5"/>
        <v>2.2026431718061675E-2</v>
      </c>
      <c r="M9" s="23">
        <f t="shared" si="3"/>
        <v>0.10691157423760744</v>
      </c>
      <c r="N9" s="23">
        <f t="shared" si="4"/>
        <v>0.10535876475930972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</row>
    <row r="10" spans="1:32" x14ac:dyDescent="0.25">
      <c r="A10" s="20" t="s">
        <v>30</v>
      </c>
      <c r="B10" s="20" t="s">
        <v>31</v>
      </c>
      <c r="C10" s="20">
        <v>18486</v>
      </c>
      <c r="D10" s="20">
        <v>14806</v>
      </c>
      <c r="E10" s="20">
        <v>3610</v>
      </c>
      <c r="F10" s="20">
        <v>3691</v>
      </c>
      <c r="G10" s="20">
        <f>_xlfn.XLOOKUP(B10,Total!B:B,Total!M:M)</f>
        <v>120</v>
      </c>
      <c r="H10" s="20">
        <f>_xlfn.XLOOKUP(B10,Total!B:B,Total!BE:BE)</f>
        <v>118</v>
      </c>
      <c r="I10" s="37">
        <f t="shared" si="0"/>
        <v>8.1048223693097401E-3</v>
      </c>
      <c r="J10" s="37">
        <f t="shared" si="1"/>
        <v>7.9697419964879102E-3</v>
      </c>
      <c r="K10" s="20">
        <f t="shared" si="2"/>
        <v>-2</v>
      </c>
      <c r="L10" s="51">
        <f t="shared" si="5"/>
        <v>-1.6666666666666666E-2</v>
      </c>
      <c r="M10" s="35">
        <f t="shared" si="3"/>
        <v>3.3240997229916899E-2</v>
      </c>
      <c r="N10" s="35">
        <f t="shared" si="4"/>
        <v>3.1969655919804933E-2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</row>
    <row r="11" spans="1:32" x14ac:dyDescent="0.25">
      <c r="A11" s="19" t="s">
        <v>18</v>
      </c>
      <c r="B11" s="19" t="s">
        <v>19</v>
      </c>
      <c r="C11" s="19">
        <v>64742</v>
      </c>
      <c r="D11" s="19">
        <v>50171</v>
      </c>
      <c r="E11" s="19">
        <v>11839</v>
      </c>
      <c r="F11" s="19">
        <v>11901</v>
      </c>
      <c r="G11" s="19">
        <f>_xlfn.XLOOKUP(B11,Total!B:B,Total!M:M)</f>
        <v>410</v>
      </c>
      <c r="H11" s="19">
        <f>_xlfn.XLOOKUP(B11,Total!B:B,Total!BE:BE)</f>
        <v>416</v>
      </c>
      <c r="I11" s="36">
        <f t="shared" si="0"/>
        <v>8.1720515835841424E-3</v>
      </c>
      <c r="J11" s="36">
        <f t="shared" si="1"/>
        <v>8.2916425823683013E-3</v>
      </c>
      <c r="K11" s="19">
        <f t="shared" si="2"/>
        <v>6</v>
      </c>
      <c r="L11" s="50">
        <f t="shared" si="5"/>
        <v>1.4634146341463415E-2</v>
      </c>
      <c r="M11" s="23">
        <f t="shared" si="3"/>
        <v>3.4631303319537121E-2</v>
      </c>
      <c r="N11" s="23">
        <f t="shared" si="4"/>
        <v>3.4955045794471055E-2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 spans="1:32" x14ac:dyDescent="0.25">
      <c r="A12" s="20" t="s">
        <v>46</v>
      </c>
      <c r="B12" s="20" t="s">
        <v>47</v>
      </c>
      <c r="C12" s="20">
        <v>22815</v>
      </c>
      <c r="D12" s="20">
        <v>17367</v>
      </c>
      <c r="E12" s="20">
        <v>3945</v>
      </c>
      <c r="F12" s="20">
        <v>4126</v>
      </c>
      <c r="G12" s="20">
        <f>_xlfn.XLOOKUP(B12,Total!B:B,Total!M:M)</f>
        <v>206</v>
      </c>
      <c r="H12" s="20">
        <f>_xlfn.XLOOKUP(B12,Total!B:B,Total!BE:BE)</f>
        <v>197</v>
      </c>
      <c r="I12" s="37">
        <f t="shared" si="0"/>
        <v>1.1861576553233144E-2</v>
      </c>
      <c r="J12" s="37">
        <f t="shared" si="1"/>
        <v>1.1343352334888005E-2</v>
      </c>
      <c r="K12" s="20">
        <f t="shared" si="2"/>
        <v>-9</v>
      </c>
      <c r="L12" s="51">
        <f t="shared" si="5"/>
        <v>-4.3689320388349516E-2</v>
      </c>
      <c r="M12" s="35">
        <f t="shared" si="3"/>
        <v>5.2217997465145757E-2</v>
      </c>
      <c r="N12" s="35">
        <f t="shared" si="4"/>
        <v>4.7746000969461952E-2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</row>
    <row r="13" spans="1:32" x14ac:dyDescent="0.25">
      <c r="A13" s="19" t="s">
        <v>12</v>
      </c>
      <c r="B13" s="19" t="s">
        <v>13</v>
      </c>
      <c r="C13" s="19">
        <v>82745</v>
      </c>
      <c r="D13" s="19">
        <v>65980</v>
      </c>
      <c r="E13" s="19">
        <v>14551</v>
      </c>
      <c r="F13" s="19">
        <v>15027</v>
      </c>
      <c r="G13" s="19">
        <f>_xlfn.XLOOKUP(B13,Total!B:B,Total!M:M)</f>
        <v>945</v>
      </c>
      <c r="H13" s="19">
        <f>_xlfn.XLOOKUP(B13,Total!B:B,Total!BE:BE)</f>
        <v>990</v>
      </c>
      <c r="I13" s="36">
        <f t="shared" si="0"/>
        <v>1.4322521976356471E-2</v>
      </c>
      <c r="J13" s="36">
        <f t="shared" si="1"/>
        <v>1.5004546832373447E-2</v>
      </c>
      <c r="K13" s="19">
        <f t="shared" si="2"/>
        <v>45</v>
      </c>
      <c r="L13" s="50">
        <f t="shared" si="5"/>
        <v>4.7619047619047616E-2</v>
      </c>
      <c r="M13" s="23">
        <f t="shared" si="3"/>
        <v>6.4943990103772942E-2</v>
      </c>
      <c r="N13" s="23">
        <f t="shared" si="4"/>
        <v>6.5881413455779594E-2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 spans="1:32" x14ac:dyDescent="0.25">
      <c r="A14" s="20" t="s">
        <v>24</v>
      </c>
      <c r="B14" s="20" t="s">
        <v>25</v>
      </c>
      <c r="C14" s="20">
        <v>70975</v>
      </c>
      <c r="D14" s="20">
        <v>54812</v>
      </c>
      <c r="E14" s="20">
        <v>10092</v>
      </c>
      <c r="F14" s="20">
        <v>10670</v>
      </c>
      <c r="G14" s="20">
        <f>_xlfn.XLOOKUP(B14,Total!B:B,Total!M:M)</f>
        <v>235</v>
      </c>
      <c r="H14" s="20">
        <f>_xlfn.XLOOKUP(B14,Total!B:B,Total!BE:BE)</f>
        <v>319</v>
      </c>
      <c r="I14" s="37">
        <f t="shared" si="0"/>
        <v>4.2873823250383124E-3</v>
      </c>
      <c r="J14" s="37">
        <f t="shared" si="1"/>
        <v>5.8198934539881774E-3</v>
      </c>
      <c r="K14" s="20">
        <f t="shared" si="2"/>
        <v>84</v>
      </c>
      <c r="L14" s="51">
        <f t="shared" si="5"/>
        <v>0.35744680851063831</v>
      </c>
      <c r="M14" s="35">
        <f t="shared" si="3"/>
        <v>2.3285770907649623E-2</v>
      </c>
      <c r="N14" s="35">
        <f t="shared" si="4"/>
        <v>2.9896907216494847E-2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</row>
    <row r="15" spans="1:32" x14ac:dyDescent="0.25">
      <c r="A15" s="19" t="s">
        <v>36</v>
      </c>
      <c r="B15" s="19" t="s">
        <v>37</v>
      </c>
      <c r="C15" s="19">
        <v>33008</v>
      </c>
      <c r="D15" s="19">
        <v>26385</v>
      </c>
      <c r="E15" s="19">
        <v>4844</v>
      </c>
      <c r="F15" s="19">
        <v>5105</v>
      </c>
      <c r="G15" s="19">
        <f>_xlfn.XLOOKUP(B15,Total!B:B,Total!M:M)</f>
        <v>248</v>
      </c>
      <c r="H15" s="19">
        <f>_xlfn.XLOOKUP(B15,Total!B:B,Total!BE:BE)</f>
        <v>280</v>
      </c>
      <c r="I15" s="36">
        <f t="shared" si="0"/>
        <v>9.3992798938790974E-3</v>
      </c>
      <c r="J15" s="36">
        <f t="shared" si="1"/>
        <v>1.0612090202766723E-2</v>
      </c>
      <c r="K15" s="19">
        <f t="shared" si="2"/>
        <v>32</v>
      </c>
      <c r="L15" s="50">
        <f t="shared" si="5"/>
        <v>0.12903225806451613</v>
      </c>
      <c r="M15" s="23">
        <f t="shared" si="3"/>
        <v>5.1197357555739058E-2</v>
      </c>
      <c r="N15" s="23">
        <f t="shared" si="4"/>
        <v>5.484818805093046E-2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</row>
    <row r="16" spans="1:32" x14ac:dyDescent="0.25">
      <c r="A16" s="20" t="s">
        <v>38</v>
      </c>
      <c r="B16" s="20" t="s">
        <v>39</v>
      </c>
      <c r="C16" s="20">
        <v>40664</v>
      </c>
      <c r="D16" s="20">
        <v>31671</v>
      </c>
      <c r="E16" s="20">
        <v>5790</v>
      </c>
      <c r="F16" s="20">
        <v>6091</v>
      </c>
      <c r="G16" s="20">
        <f>_xlfn.XLOOKUP(B16,Total!B:B,Total!M:M)</f>
        <v>217</v>
      </c>
      <c r="H16" s="20">
        <f>_xlfn.XLOOKUP(B16,Total!B:B,Total!BE:BE)</f>
        <v>238</v>
      </c>
      <c r="I16" s="37">
        <f t="shared" si="0"/>
        <v>6.8516939787187014E-3</v>
      </c>
      <c r="J16" s="37">
        <f t="shared" si="1"/>
        <v>7.5147611379495442E-3</v>
      </c>
      <c r="K16" s="20">
        <f t="shared" si="2"/>
        <v>21</v>
      </c>
      <c r="L16" s="51">
        <f t="shared" si="5"/>
        <v>9.6774193548387094E-2</v>
      </c>
      <c r="M16" s="35">
        <f t="shared" si="3"/>
        <v>3.7478411053540585E-2</v>
      </c>
      <c r="N16" s="35">
        <f t="shared" si="4"/>
        <v>3.9074043670989989E-2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 spans="1:32" x14ac:dyDescent="0.25">
      <c r="A17" s="19" t="s">
        <v>40</v>
      </c>
      <c r="B17" s="19" t="s">
        <v>41</v>
      </c>
      <c r="C17" s="19">
        <v>35566</v>
      </c>
      <c r="D17" s="19">
        <v>27813</v>
      </c>
      <c r="E17" s="19">
        <v>4960</v>
      </c>
      <c r="F17" s="19">
        <v>5153</v>
      </c>
      <c r="G17" s="19">
        <f>_xlfn.XLOOKUP(B17,Total!B:B,Total!M:M)</f>
        <v>221</v>
      </c>
      <c r="H17" s="19">
        <f>_xlfn.XLOOKUP(B17,Total!B:B,Total!BE:BE)</f>
        <v>237</v>
      </c>
      <c r="I17" s="36">
        <f t="shared" si="0"/>
        <v>7.9459245676482219E-3</v>
      </c>
      <c r="J17" s="36">
        <f t="shared" si="1"/>
        <v>8.5211951245820292E-3</v>
      </c>
      <c r="K17" s="19">
        <f t="shared" si="2"/>
        <v>16</v>
      </c>
      <c r="L17" s="50">
        <f t="shared" si="5"/>
        <v>7.2398190045248875E-2</v>
      </c>
      <c r="M17" s="23">
        <f t="shared" si="3"/>
        <v>4.4556451612903225E-2</v>
      </c>
      <c r="N17" s="23">
        <f t="shared" si="4"/>
        <v>4.5992625654958277E-2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</row>
    <row r="18" spans="1:32" x14ac:dyDescent="0.25">
      <c r="A18" s="20" t="s">
        <v>42</v>
      </c>
      <c r="B18" s="20" t="s">
        <v>43</v>
      </c>
      <c r="C18" s="20">
        <v>30503</v>
      </c>
      <c r="D18" s="20">
        <v>23708</v>
      </c>
      <c r="E18" s="20">
        <v>4235</v>
      </c>
      <c r="F18" s="20">
        <v>4322</v>
      </c>
      <c r="G18" s="20">
        <f>_xlfn.XLOOKUP(B18,Total!B:B,Total!M:M)</f>
        <v>198</v>
      </c>
      <c r="H18" s="20">
        <f>_xlfn.XLOOKUP(B18,Total!B:B,Total!BE:BE)</f>
        <v>227</v>
      </c>
      <c r="I18" s="37">
        <f t="shared" si="0"/>
        <v>8.3516112704572296E-3</v>
      </c>
      <c r="J18" s="37">
        <f t="shared" si="1"/>
        <v>9.5748270625949043E-3</v>
      </c>
      <c r="K18" s="20">
        <f t="shared" si="2"/>
        <v>29</v>
      </c>
      <c r="L18" s="51">
        <f t="shared" si="5"/>
        <v>0.14646464646464646</v>
      </c>
      <c r="M18" s="35">
        <f t="shared" si="3"/>
        <v>4.6753246753246755E-2</v>
      </c>
      <c r="N18" s="35">
        <f t="shared" si="4"/>
        <v>5.2521980564553448E-2</v>
      </c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 spans="1:32" x14ac:dyDescent="0.25">
      <c r="A19" s="19" t="s">
        <v>28</v>
      </c>
      <c r="B19" s="19" t="s">
        <v>29</v>
      </c>
      <c r="C19" s="19">
        <v>82980</v>
      </c>
      <c r="D19" s="19">
        <v>66517</v>
      </c>
      <c r="E19" s="19">
        <v>11191</v>
      </c>
      <c r="F19" s="19">
        <v>11535</v>
      </c>
      <c r="G19" s="19">
        <f>_xlfn.XLOOKUP(B19,Total!B:B,Total!M:M)</f>
        <v>732</v>
      </c>
      <c r="H19" s="19">
        <f>_xlfn.XLOOKUP(B19,Total!B:B,Total!BE:BE)</f>
        <v>773</v>
      </c>
      <c r="I19" s="36">
        <f t="shared" si="0"/>
        <v>1.1004705563991159E-2</v>
      </c>
      <c r="J19" s="36">
        <f t="shared" si="1"/>
        <v>1.1621089345580829E-2</v>
      </c>
      <c r="K19" s="19">
        <f t="shared" si="2"/>
        <v>41</v>
      </c>
      <c r="L19" s="50">
        <f t="shared" si="5"/>
        <v>5.6010928961748634E-2</v>
      </c>
      <c r="M19" s="23">
        <f t="shared" si="3"/>
        <v>6.5409704226610674E-2</v>
      </c>
      <c r="N19" s="23">
        <f t="shared" si="4"/>
        <v>6.7013437364542697E-2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 spans="1:32" x14ac:dyDescent="0.25">
      <c r="A20" s="20" t="s">
        <v>54</v>
      </c>
      <c r="B20" s="20" t="s">
        <v>55</v>
      </c>
      <c r="C20" s="20">
        <v>22868</v>
      </c>
      <c r="D20" s="20">
        <v>19137</v>
      </c>
      <c r="E20" s="20">
        <v>3058</v>
      </c>
      <c r="F20" s="20">
        <v>3239</v>
      </c>
      <c r="G20" s="20">
        <f>_xlfn.XLOOKUP(B20,Total!B:B,Total!M:M)</f>
        <v>99</v>
      </c>
      <c r="H20" s="20">
        <f>_xlfn.XLOOKUP(B20,Total!B:B,Total!BE:BE)</f>
        <v>112</v>
      </c>
      <c r="I20" s="37">
        <f t="shared" si="0"/>
        <v>5.1732246433610282E-3</v>
      </c>
      <c r="J20" s="37">
        <f t="shared" si="1"/>
        <v>5.8525369702670223E-3</v>
      </c>
      <c r="K20" s="20">
        <f t="shared" si="2"/>
        <v>13</v>
      </c>
      <c r="L20" s="51">
        <f t="shared" si="5"/>
        <v>0.13131313131313133</v>
      </c>
      <c r="M20" s="35">
        <f t="shared" si="3"/>
        <v>3.237410071942446E-2</v>
      </c>
      <c r="N20" s="35">
        <f t="shared" si="4"/>
        <v>3.4578573633837602E-2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  <row r="21" spans="1:32" x14ac:dyDescent="0.25">
      <c r="A21" s="19" t="s">
        <v>44</v>
      </c>
      <c r="B21" s="19" t="s">
        <v>45</v>
      </c>
      <c r="C21" s="19">
        <v>41799</v>
      </c>
      <c r="D21" s="19">
        <v>32724</v>
      </c>
      <c r="E21" s="19">
        <v>5358</v>
      </c>
      <c r="F21" s="19">
        <v>5514</v>
      </c>
      <c r="G21" s="19">
        <f>_xlfn.XLOOKUP(B21,Total!B:B,Total!M:M)</f>
        <v>233</v>
      </c>
      <c r="H21" s="19">
        <f>_xlfn.XLOOKUP(B21,Total!B:B,Total!BE:BE)</f>
        <v>230</v>
      </c>
      <c r="I21" s="36">
        <f t="shared" si="0"/>
        <v>7.1201564600904535E-3</v>
      </c>
      <c r="J21" s="36">
        <f t="shared" si="1"/>
        <v>7.0284806258403614E-3</v>
      </c>
      <c r="K21" s="19">
        <f t="shared" si="2"/>
        <v>-3</v>
      </c>
      <c r="L21" s="50">
        <f t="shared" si="5"/>
        <v>-1.2875536480686695E-2</v>
      </c>
      <c r="M21" s="23">
        <f t="shared" si="3"/>
        <v>4.3486375513251213E-2</v>
      </c>
      <c r="N21" s="23">
        <f t="shared" si="4"/>
        <v>4.1712005803409502E-2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</row>
    <row r="22" spans="1:32" x14ac:dyDescent="0.25">
      <c r="A22" s="20" t="s">
        <v>32</v>
      </c>
      <c r="B22" s="20" t="s">
        <v>33</v>
      </c>
      <c r="C22" s="20">
        <v>45749</v>
      </c>
      <c r="D22" s="20">
        <v>36111</v>
      </c>
      <c r="E22" s="20">
        <v>5637</v>
      </c>
      <c r="F22" s="20">
        <v>5922</v>
      </c>
      <c r="G22" s="20">
        <f>_xlfn.XLOOKUP(B22,Total!B:B,Total!M:M)</f>
        <v>394</v>
      </c>
      <c r="H22" s="20">
        <f>_xlfn.XLOOKUP(B22,Total!B:B,Total!BE:BE)</f>
        <v>390</v>
      </c>
      <c r="I22" s="37">
        <f t="shared" si="0"/>
        <v>1.0910802802470162E-2</v>
      </c>
      <c r="J22" s="37">
        <f t="shared" si="1"/>
        <v>1.080003323087148E-2</v>
      </c>
      <c r="K22" s="20">
        <f t="shared" si="2"/>
        <v>-4</v>
      </c>
      <c r="L22" s="51">
        <f t="shared" si="5"/>
        <v>-1.015228426395939E-2</v>
      </c>
      <c r="M22" s="35">
        <f t="shared" si="3"/>
        <v>6.9895334397729283E-2</v>
      </c>
      <c r="N22" s="35">
        <f t="shared" si="4"/>
        <v>6.585612968591692E-2</v>
      </c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</row>
    <row r="23" spans="1:32" x14ac:dyDescent="0.25">
      <c r="A23" s="19" t="s">
        <v>10</v>
      </c>
      <c r="B23" s="19" t="s">
        <v>11</v>
      </c>
      <c r="C23" s="19">
        <v>109255</v>
      </c>
      <c r="D23" s="19">
        <v>84228</v>
      </c>
      <c r="E23" s="19">
        <v>13031</v>
      </c>
      <c r="F23" s="19">
        <v>13576</v>
      </c>
      <c r="G23" s="19">
        <f>_xlfn.XLOOKUP(B23,Total!B:B,Total!M:M)</f>
        <v>947</v>
      </c>
      <c r="H23" s="19">
        <f>_xlfn.XLOOKUP(B23,Total!B:B,Total!BE:BE)</f>
        <v>992</v>
      </c>
      <c r="I23" s="36">
        <f t="shared" si="0"/>
        <v>1.1243292016906492E-2</v>
      </c>
      <c r="J23" s="36">
        <f t="shared" si="1"/>
        <v>1.1777556157097403E-2</v>
      </c>
      <c r="K23" s="19">
        <f t="shared" si="2"/>
        <v>45</v>
      </c>
      <c r="L23" s="50">
        <f t="shared" si="5"/>
        <v>4.7518479408658922E-2</v>
      </c>
      <c r="M23" s="23">
        <f t="shared" si="3"/>
        <v>7.2672857033228455E-2</v>
      </c>
      <c r="N23" s="23">
        <f t="shared" si="4"/>
        <v>7.3070123747790219E-2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</row>
    <row r="24" spans="1:32" x14ac:dyDescent="0.25">
      <c r="A24" s="20" t="s">
        <v>26</v>
      </c>
      <c r="B24" s="20" t="s">
        <v>27</v>
      </c>
      <c r="C24" s="20">
        <v>55044</v>
      </c>
      <c r="D24" s="20">
        <v>41804</v>
      </c>
      <c r="E24" s="20">
        <v>5716</v>
      </c>
      <c r="F24" s="20">
        <v>5950</v>
      </c>
      <c r="G24" s="20">
        <f>_xlfn.XLOOKUP(B24,Total!B:B,Total!M:M)</f>
        <v>340</v>
      </c>
      <c r="H24" s="20">
        <f>_xlfn.XLOOKUP(B24,Total!B:B,Total!BE:BE)</f>
        <v>371</v>
      </c>
      <c r="I24" s="37">
        <f t="shared" si="0"/>
        <v>8.1331929958855607E-3</v>
      </c>
      <c r="J24" s="37">
        <f t="shared" si="1"/>
        <v>8.8747488278633629E-3</v>
      </c>
      <c r="K24" s="20">
        <f t="shared" si="2"/>
        <v>31</v>
      </c>
      <c r="L24" s="51">
        <f t="shared" si="5"/>
        <v>9.1176470588235289E-2</v>
      </c>
      <c r="M24" s="35">
        <f t="shared" si="3"/>
        <v>5.9482155353393983E-2</v>
      </c>
      <c r="N24" s="35">
        <f t="shared" si="4"/>
        <v>6.235294117647059E-2</v>
      </c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 spans="1:32" x14ac:dyDescent="0.25">
      <c r="A25" s="19" t="s">
        <v>8</v>
      </c>
      <c r="B25" s="19" t="s">
        <v>9</v>
      </c>
      <c r="C25" s="19">
        <v>147246</v>
      </c>
      <c r="D25" s="19">
        <v>115421</v>
      </c>
      <c r="E25" s="19">
        <v>15388</v>
      </c>
      <c r="F25" s="19">
        <v>16152</v>
      </c>
      <c r="G25" s="19">
        <f>_xlfn.XLOOKUP(B25,Total!B:B,Total!M:M)</f>
        <v>588</v>
      </c>
      <c r="H25" s="19">
        <f>_xlfn.XLOOKUP(B25,Total!B:B,Total!BE:BE)</f>
        <v>589</v>
      </c>
      <c r="I25" s="36">
        <f t="shared" si="0"/>
        <v>5.0943935678949238E-3</v>
      </c>
      <c r="J25" s="36">
        <f t="shared" si="1"/>
        <v>5.1030575025342011E-3</v>
      </c>
      <c r="K25" s="19">
        <f t="shared" si="2"/>
        <v>1</v>
      </c>
      <c r="L25" s="50">
        <f t="shared" si="5"/>
        <v>1.7006802721088435E-3</v>
      </c>
      <c r="M25" s="23">
        <f t="shared" si="3"/>
        <v>3.8211593449441125E-2</v>
      </c>
      <c r="N25" s="23">
        <f t="shared" si="4"/>
        <v>3.6466072313026253E-2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spans="1:32" x14ac:dyDescent="0.25">
      <c r="A26" s="20" t="s">
        <v>16</v>
      </c>
      <c r="B26" s="20" t="s">
        <v>17</v>
      </c>
      <c r="C26" s="20">
        <v>78699</v>
      </c>
      <c r="D26" s="20">
        <v>62970</v>
      </c>
      <c r="E26" s="20">
        <v>8802</v>
      </c>
      <c r="F26" s="20">
        <v>8812</v>
      </c>
      <c r="G26" s="20">
        <f>_xlfn.XLOOKUP(B26,Total!B:B,Total!M:M)</f>
        <v>514</v>
      </c>
      <c r="H26" s="20">
        <f>_xlfn.XLOOKUP(B26,Total!B:B,Total!BE:BE)</f>
        <v>512</v>
      </c>
      <c r="I26" s="37">
        <f t="shared" si="0"/>
        <v>8.1626171192631415E-3</v>
      </c>
      <c r="J26" s="37">
        <f t="shared" si="1"/>
        <v>8.1308559631570586E-3</v>
      </c>
      <c r="K26" s="20">
        <f t="shared" si="2"/>
        <v>-2</v>
      </c>
      <c r="L26" s="51"/>
      <c r="M26" s="35">
        <f t="shared" si="3"/>
        <v>5.8395819132015449E-2</v>
      </c>
      <c r="N26" s="35">
        <f t="shared" si="4"/>
        <v>5.8102587380844305E-2</v>
      </c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 spans="1:32" x14ac:dyDescent="0.25">
      <c r="A27" s="19" t="s">
        <v>20</v>
      </c>
      <c r="B27" s="19" t="s">
        <v>21</v>
      </c>
      <c r="C27" s="19">
        <v>61528</v>
      </c>
      <c r="D27" s="19">
        <v>47591</v>
      </c>
      <c r="E27" s="19">
        <v>6269</v>
      </c>
      <c r="F27" s="19">
        <v>6504</v>
      </c>
      <c r="G27" s="19">
        <f>_xlfn.XLOOKUP(B27,Total!B:B,Total!M:M)</f>
        <v>230</v>
      </c>
      <c r="H27" s="19">
        <f>_xlfn.XLOOKUP(B27,Total!B:B,Total!BE:BE)</f>
        <v>250</v>
      </c>
      <c r="I27" s="36">
        <f t="shared" si="0"/>
        <v>4.8328465466159565E-3</v>
      </c>
      <c r="J27" s="36">
        <f t="shared" si="1"/>
        <v>5.2530940724086483E-3</v>
      </c>
      <c r="K27" s="19">
        <f t="shared" si="2"/>
        <v>20</v>
      </c>
      <c r="L27" s="50">
        <f>(H27-G27)/G27</f>
        <v>8.6956521739130432E-2</v>
      </c>
      <c r="M27" s="23">
        <f t="shared" si="3"/>
        <v>3.6688467060137182E-2</v>
      </c>
      <c r="N27" s="23">
        <f t="shared" si="4"/>
        <v>3.8437884378843788E-2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</row>
    <row r="28" spans="1:32" x14ac:dyDescent="0.25">
      <c r="A28" s="20" t="s">
        <v>34</v>
      </c>
      <c r="B28" s="20" t="s">
        <v>35</v>
      </c>
      <c r="C28" s="20">
        <v>43888</v>
      </c>
      <c r="D28" s="20">
        <v>32516</v>
      </c>
      <c r="E28" s="20">
        <v>4147</v>
      </c>
      <c r="F28" s="20">
        <v>4413</v>
      </c>
      <c r="G28" s="20">
        <f>_xlfn.XLOOKUP(B28,Total!B:B,Total!M:M)</f>
        <v>243</v>
      </c>
      <c r="H28" s="20">
        <f>_xlfn.XLOOKUP(B28,Total!B:B,Total!BE:BE)</f>
        <v>250</v>
      </c>
      <c r="I28" s="37">
        <f t="shared" si="0"/>
        <v>7.4732439414442117E-3</v>
      </c>
      <c r="J28" s="37">
        <f t="shared" si="1"/>
        <v>7.6885225735022758E-3</v>
      </c>
      <c r="K28" s="20">
        <f t="shared" si="2"/>
        <v>7</v>
      </c>
      <c r="L28" s="51"/>
      <c r="M28" s="35">
        <f t="shared" si="3"/>
        <v>5.8596575837955148E-2</v>
      </c>
      <c r="N28" s="35">
        <f t="shared" si="4"/>
        <v>5.6650804441423071E-2</v>
      </c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</row>
    <row r="29" spans="1:32" x14ac:dyDescent="0.25">
      <c r="A29" s="19" t="s">
        <v>14</v>
      </c>
      <c r="B29" s="19" t="s">
        <v>15</v>
      </c>
      <c r="C29" s="19">
        <v>63949</v>
      </c>
      <c r="D29" s="19">
        <v>47439</v>
      </c>
      <c r="E29" s="19">
        <v>6061</v>
      </c>
      <c r="F29" s="19">
        <v>6301</v>
      </c>
      <c r="G29" s="19">
        <f>_xlfn.XLOOKUP(B29,Total!B:B,Total!M:M)</f>
        <v>486</v>
      </c>
      <c r="H29" s="19">
        <f>_xlfn.XLOOKUP(B29,Total!B:B,Total!BE:BE)</f>
        <v>474</v>
      </c>
      <c r="I29" s="36">
        <f t="shared" si="0"/>
        <v>1.0244735344336939E-2</v>
      </c>
      <c r="J29" s="36">
        <f t="shared" si="1"/>
        <v>9.9917789160817051E-3</v>
      </c>
      <c r="K29" s="19">
        <f t="shared" si="2"/>
        <v>-12</v>
      </c>
      <c r="L29" s="50"/>
      <c r="M29" s="23">
        <f t="shared" si="3"/>
        <v>8.0184787988780731E-2</v>
      </c>
      <c r="N29" s="23">
        <f t="shared" si="4"/>
        <v>7.5226154578638307E-2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</row>
    <row r="30" spans="1:32" x14ac:dyDescent="0.25">
      <c r="A30" s="20" t="s">
        <v>67</v>
      </c>
      <c r="B30" s="20" t="s">
        <v>68</v>
      </c>
      <c r="C30" s="20">
        <v>3385</v>
      </c>
      <c r="D30" s="20">
        <v>2940</v>
      </c>
      <c r="E30" s="20">
        <v>39</v>
      </c>
      <c r="F30" s="20">
        <v>184</v>
      </c>
      <c r="G30" s="20">
        <f>_xlfn.XLOOKUP(B30,Total!B:B,Total!M:M)</f>
        <v>0</v>
      </c>
      <c r="H30" s="20">
        <f>_xlfn.XLOOKUP(B30,Total!B:B,Total!BE:BE)</f>
        <v>1</v>
      </c>
      <c r="I30" s="37">
        <f t="shared" si="0"/>
        <v>0</v>
      </c>
      <c r="J30" s="37">
        <f t="shared" si="1"/>
        <v>3.4013605442176868E-4</v>
      </c>
      <c r="K30" s="20">
        <f t="shared" si="2"/>
        <v>1</v>
      </c>
      <c r="L30" s="51"/>
      <c r="M30" s="35">
        <f t="shared" si="3"/>
        <v>0</v>
      </c>
      <c r="N30" s="35">
        <f t="shared" si="4"/>
        <v>5.434782608695652E-3</v>
      </c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</row>
    <row r="31" spans="1:32" x14ac:dyDescent="0.25">
      <c r="A31" s="19" t="s">
        <v>65</v>
      </c>
      <c r="B31" s="19" t="s">
        <v>66</v>
      </c>
      <c r="C31" s="19">
        <v>9485</v>
      </c>
      <c r="D31" s="19">
        <v>8435</v>
      </c>
      <c r="E31" s="19">
        <v>193</v>
      </c>
      <c r="F31" s="19">
        <v>389</v>
      </c>
      <c r="G31" s="19">
        <f>_xlfn.XLOOKUP(B31,Total!B:B,Total!M:M)</f>
        <v>1</v>
      </c>
      <c r="H31" s="19">
        <f>_xlfn.XLOOKUP(B31,Total!B:B,Total!BE:BE)</f>
        <v>3</v>
      </c>
      <c r="I31" s="36">
        <f t="shared" si="0"/>
        <v>1.1855364552459988E-4</v>
      </c>
      <c r="J31" s="36">
        <f t="shared" si="1"/>
        <v>3.5566093657379963E-4</v>
      </c>
      <c r="K31" s="19">
        <f t="shared" si="2"/>
        <v>2</v>
      </c>
      <c r="L31" s="50"/>
      <c r="M31" s="47">
        <f t="shared" si="3"/>
        <v>5.1813471502590676E-3</v>
      </c>
      <c r="N31" s="47">
        <f t="shared" si="4"/>
        <v>7.7120822622107968E-3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</row>
    <row r="32" spans="1:32" x14ac:dyDescent="0.25">
      <c r="A32" s="20" t="s">
        <v>52</v>
      </c>
      <c r="B32" s="20" t="s">
        <v>53</v>
      </c>
      <c r="C32" s="20">
        <v>24308</v>
      </c>
      <c r="D32" s="20">
        <v>18586</v>
      </c>
      <c r="E32" s="20">
        <v>0</v>
      </c>
      <c r="F32" s="20">
        <v>0</v>
      </c>
      <c r="G32" s="20">
        <f>_xlfn.XLOOKUP(B32,Total!B:B,Total!M:M)</f>
        <v>0</v>
      </c>
      <c r="H32" s="20">
        <f>_xlfn.XLOOKUP(B32,Total!B:B,Total!BE:BE)</f>
        <v>0</v>
      </c>
      <c r="I32" s="37">
        <f t="shared" si="0"/>
        <v>0</v>
      </c>
      <c r="J32" s="37">
        <f t="shared" si="1"/>
        <v>0</v>
      </c>
      <c r="K32" s="20">
        <f t="shared" si="2"/>
        <v>0</v>
      </c>
      <c r="L32" s="51"/>
      <c r="M32" s="37"/>
      <c r="N32" s="37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</row>
    <row r="33" spans="1:32" x14ac:dyDescent="0.25">
      <c r="A33" s="19" t="s">
        <v>52</v>
      </c>
      <c r="B33" s="19" t="s">
        <v>58</v>
      </c>
      <c r="C33" s="19">
        <v>28896</v>
      </c>
      <c r="D33" s="19">
        <v>23559</v>
      </c>
      <c r="E33" s="19">
        <v>0</v>
      </c>
      <c r="F33" s="19">
        <v>0</v>
      </c>
      <c r="G33" s="19">
        <f>_xlfn.XLOOKUP(B33,Total!B:B,Total!M:M)</f>
        <v>0</v>
      </c>
      <c r="H33" s="19">
        <f>_xlfn.XLOOKUP(B33,Total!B:B,Total!BE:BE)</f>
        <v>0</v>
      </c>
      <c r="I33" s="36">
        <f t="shared" si="0"/>
        <v>0</v>
      </c>
      <c r="J33" s="36">
        <f t="shared" si="1"/>
        <v>0</v>
      </c>
      <c r="K33" s="19">
        <f t="shared" si="2"/>
        <v>0</v>
      </c>
      <c r="L33" s="50"/>
      <c r="M33" s="36"/>
      <c r="N33" s="36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 spans="1:32" x14ac:dyDescent="0.25">
      <c r="A34" s="20" t="s">
        <v>52</v>
      </c>
      <c r="B34" s="20" t="s">
        <v>59</v>
      </c>
      <c r="C34" s="20">
        <v>5607</v>
      </c>
      <c r="D34" s="20">
        <v>4206</v>
      </c>
      <c r="E34" s="20">
        <v>0</v>
      </c>
      <c r="F34" s="20">
        <v>0</v>
      </c>
      <c r="G34" s="20">
        <f>_xlfn.XLOOKUP(B34,Total!B:B,Total!M:M)</f>
        <v>0</v>
      </c>
      <c r="H34" s="20">
        <f>_xlfn.XLOOKUP(B34,Total!B:B,Total!BE:BE)</f>
        <v>0</v>
      </c>
      <c r="I34" s="37">
        <f t="shared" si="0"/>
        <v>0</v>
      </c>
      <c r="J34" s="37">
        <f t="shared" si="1"/>
        <v>0</v>
      </c>
      <c r="K34" s="20">
        <f t="shared" si="2"/>
        <v>0</v>
      </c>
      <c r="L34" s="51"/>
      <c r="M34" s="37"/>
      <c r="N34" s="37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 spans="1:32" x14ac:dyDescent="0.25">
      <c r="A35" s="19" t="s">
        <v>52</v>
      </c>
      <c r="B35" s="19" t="s">
        <v>64</v>
      </c>
      <c r="C35" s="19">
        <v>3041</v>
      </c>
      <c r="D35" s="19">
        <v>2409</v>
      </c>
      <c r="E35" s="19">
        <v>0</v>
      </c>
      <c r="F35" s="19">
        <v>0</v>
      </c>
      <c r="G35" s="19">
        <f>_xlfn.XLOOKUP(B35,Total!B:B,Total!M:M)</f>
        <v>0</v>
      </c>
      <c r="H35" s="19">
        <f>_xlfn.XLOOKUP(B35,Total!B:B,Total!BE:BE)</f>
        <v>0</v>
      </c>
      <c r="I35" s="36">
        <f t="shared" si="0"/>
        <v>0</v>
      </c>
      <c r="J35" s="36">
        <f t="shared" si="1"/>
        <v>0</v>
      </c>
      <c r="K35" s="19">
        <f t="shared" si="2"/>
        <v>0</v>
      </c>
      <c r="L35" s="50"/>
      <c r="M35" s="36"/>
      <c r="N35" s="36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 spans="1:32" x14ac:dyDescent="0.25">
      <c r="A36" s="20" t="s">
        <v>52</v>
      </c>
      <c r="B36" s="20" t="s">
        <v>69</v>
      </c>
      <c r="C36" s="20">
        <v>4493</v>
      </c>
      <c r="D36" s="20">
        <v>3426</v>
      </c>
      <c r="E36" s="20">
        <v>0</v>
      </c>
      <c r="F36" s="20">
        <v>0</v>
      </c>
      <c r="G36" s="20">
        <f>_xlfn.XLOOKUP(B36,Total!B:B,Total!M:M)</f>
        <v>0</v>
      </c>
      <c r="H36" s="20">
        <f>_xlfn.XLOOKUP(B36,Total!B:B,Total!BE:BE)</f>
        <v>0</v>
      </c>
      <c r="I36" s="37">
        <f t="shared" si="0"/>
        <v>0</v>
      </c>
      <c r="J36" s="37">
        <f t="shared" si="1"/>
        <v>0</v>
      </c>
      <c r="K36" s="20">
        <f t="shared" si="2"/>
        <v>0</v>
      </c>
      <c r="L36" s="51"/>
      <c r="M36" s="37"/>
      <c r="N36" s="37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 spans="1:32" x14ac:dyDescent="0.25">
      <c r="A37" s="19" t="s">
        <v>52</v>
      </c>
      <c r="B37" s="19" t="s">
        <v>70</v>
      </c>
      <c r="C37" s="19">
        <v>3943</v>
      </c>
      <c r="D37" s="19">
        <v>3266</v>
      </c>
      <c r="E37" s="19">
        <v>0</v>
      </c>
      <c r="F37" s="19">
        <v>0</v>
      </c>
      <c r="G37" s="19">
        <f>_xlfn.XLOOKUP(B37,Total!B:B,Total!M:M)</f>
        <v>0</v>
      </c>
      <c r="H37" s="19">
        <f>_xlfn.XLOOKUP(B37,Total!B:B,Total!BE:BE)</f>
        <v>0</v>
      </c>
      <c r="I37" s="36">
        <f t="shared" si="0"/>
        <v>0</v>
      </c>
      <c r="J37" s="36">
        <f t="shared" si="1"/>
        <v>0</v>
      </c>
      <c r="K37" s="19">
        <f t="shared" si="2"/>
        <v>0</v>
      </c>
      <c r="L37" s="50"/>
      <c r="M37" s="36"/>
      <c r="N37" s="36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8" spans="1:32" x14ac:dyDescent="0.25">
      <c r="A38" s="20" t="s">
        <v>52</v>
      </c>
      <c r="B38" s="20" t="s">
        <v>71</v>
      </c>
      <c r="C38" s="20">
        <v>3240</v>
      </c>
      <c r="D38" s="20">
        <v>2762</v>
      </c>
      <c r="E38" s="20">
        <v>0</v>
      </c>
      <c r="F38" s="20">
        <v>0</v>
      </c>
      <c r="G38" s="20">
        <f>_xlfn.XLOOKUP(B38,Total!B:B,Total!M:M)</f>
        <v>0</v>
      </c>
      <c r="H38" s="20">
        <f>_xlfn.XLOOKUP(B38,Total!B:B,Total!BE:BE)</f>
        <v>0</v>
      </c>
      <c r="I38" s="37">
        <f t="shared" si="0"/>
        <v>0</v>
      </c>
      <c r="J38" s="37">
        <f t="shared" si="1"/>
        <v>0</v>
      </c>
      <c r="K38" s="20">
        <f t="shared" si="2"/>
        <v>0</v>
      </c>
      <c r="L38" s="51"/>
      <c r="M38" s="37"/>
      <c r="N38" s="37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</row>
    <row r="39" spans="1:32" x14ac:dyDescent="0.25">
      <c r="A39" s="19" t="s">
        <v>52</v>
      </c>
      <c r="B39" s="19" t="s">
        <v>72</v>
      </c>
      <c r="C39" s="19">
        <v>2867</v>
      </c>
      <c r="D39" s="19">
        <v>2490</v>
      </c>
      <c r="E39" s="19">
        <v>0</v>
      </c>
      <c r="F39" s="19">
        <v>0</v>
      </c>
      <c r="G39" s="19">
        <f>_xlfn.XLOOKUP(B39,Total!B:B,Total!M:M)</f>
        <v>0</v>
      </c>
      <c r="H39" s="19">
        <f>_xlfn.XLOOKUP(B39,Total!B:B,Total!BE:BE)</f>
        <v>0</v>
      </c>
      <c r="I39" s="36">
        <f t="shared" si="0"/>
        <v>0</v>
      </c>
      <c r="J39" s="36">
        <f t="shared" si="1"/>
        <v>0</v>
      </c>
      <c r="K39" s="19">
        <f t="shared" si="2"/>
        <v>0</v>
      </c>
      <c r="L39" s="50"/>
      <c r="M39" s="36"/>
      <c r="N39" s="36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</row>
    <row r="40" spans="1:32" x14ac:dyDescent="0.25">
      <c r="A40" s="20" t="s">
        <v>52</v>
      </c>
      <c r="B40" s="20" t="s">
        <v>73</v>
      </c>
      <c r="C40" s="20">
        <v>2481</v>
      </c>
      <c r="D40" s="20">
        <v>2078</v>
      </c>
      <c r="E40" s="20">
        <v>0</v>
      </c>
      <c r="F40" s="20">
        <v>0</v>
      </c>
      <c r="G40" s="20">
        <f>_xlfn.XLOOKUP(B40,Total!B:B,Total!M:M)</f>
        <v>0</v>
      </c>
      <c r="H40" s="20">
        <f>_xlfn.XLOOKUP(B40,Total!B:B,Total!BE:BE)</f>
        <v>0</v>
      </c>
      <c r="I40" s="37">
        <f t="shared" si="0"/>
        <v>0</v>
      </c>
      <c r="J40" s="37">
        <f t="shared" si="1"/>
        <v>0</v>
      </c>
      <c r="K40" s="20">
        <f t="shared" si="2"/>
        <v>0</v>
      </c>
      <c r="L40" s="51"/>
      <c r="M40" s="37"/>
      <c r="N40" s="37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 spans="1:32" ht="15.75" x14ac:dyDescent="0.25">
      <c r="A41" s="22"/>
      <c r="B41" s="22" t="s">
        <v>74</v>
      </c>
      <c r="C41" s="22">
        <f t="shared" ref="C41:H41" si="6">SUM(C3:C40)</f>
        <v>1602515</v>
      </c>
      <c r="D41" s="22">
        <f t="shared" si="6"/>
        <v>1252619</v>
      </c>
      <c r="E41" s="22">
        <f t="shared" si="6"/>
        <v>231116</v>
      </c>
      <c r="F41" s="22">
        <f t="shared" si="6"/>
        <v>240157</v>
      </c>
      <c r="G41" s="22">
        <f t="shared" si="6"/>
        <v>13214</v>
      </c>
      <c r="H41" s="22">
        <f t="shared" si="6"/>
        <v>13761</v>
      </c>
      <c r="I41" s="45">
        <f t="shared" si="0"/>
        <v>1.0549097530853356E-2</v>
      </c>
      <c r="J41" s="45">
        <f t="shared" si="1"/>
        <v>1.098578258832095E-2</v>
      </c>
      <c r="K41" s="39">
        <f>SUM(K1:K40)</f>
        <v>547</v>
      </c>
      <c r="L41" s="46">
        <f>(H41-G41)/G41</f>
        <v>4.1395489632208265E-2</v>
      </c>
      <c r="M41" s="39">
        <f>G41/E41</f>
        <v>5.7174752072552314E-2</v>
      </c>
      <c r="N41" s="39">
        <f>H41/F41</f>
        <v>5.7300016239376743E-2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50" spans="3:32" x14ac:dyDescent="0.25">
      <c r="C50" s="8"/>
      <c r="D50" s="8"/>
      <c r="E50" s="8"/>
      <c r="F50" s="8"/>
      <c r="G50" s="8"/>
      <c r="H50" s="8"/>
      <c r="I50" s="8"/>
      <c r="J50" s="8"/>
      <c r="K50" s="43"/>
      <c r="L50" s="13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</row>
    <row r="51" spans="3:32" x14ac:dyDescent="0.25">
      <c r="C51" s="8"/>
      <c r="D51" s="8"/>
      <c r="E51" s="8"/>
      <c r="F51" s="8"/>
      <c r="G51" s="8"/>
      <c r="H51" s="8"/>
      <c r="I51" s="8"/>
      <c r="J51" s="8"/>
      <c r="K51" s="43"/>
      <c r="L51" s="13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</row>
  </sheetData>
  <autoFilter ref="A2:AF2" xr:uid="{1B2E81FE-C549-41FA-ADF8-4795A1C1312E}">
    <sortState xmlns:xlrd2="http://schemas.microsoft.com/office/spreadsheetml/2017/richdata2" ref="A3:AF41">
      <sortCondition descending="1" ref="J2"/>
    </sortState>
  </autoFilter>
  <conditionalFormatting sqref="I3:I41">
    <cfRule type="cellIs" dxfId="60" priority="8" operator="lessThan">
      <formula>$I$40</formula>
    </cfRule>
    <cfRule type="cellIs" dxfId="59" priority="10" operator="lessThan">
      <formula>0.18</formula>
    </cfRule>
  </conditionalFormatting>
  <conditionalFormatting sqref="J3:J40">
    <cfRule type="cellIs" dxfId="58" priority="7" operator="lessThan">
      <formula>$J$40</formula>
    </cfRule>
    <cfRule type="cellIs" dxfId="57" priority="9" operator="lessThan">
      <formula>0.22</formula>
    </cfRule>
  </conditionalFormatting>
  <conditionalFormatting sqref="J41">
    <cfRule type="cellIs" dxfId="56" priority="5" operator="lessThan">
      <formula>$I$40</formula>
    </cfRule>
    <cfRule type="cellIs" dxfId="55" priority="6" operator="lessThan">
      <formula>0.18</formula>
    </cfRule>
  </conditionalFormatting>
  <conditionalFormatting sqref="M3:M31">
    <cfRule type="cellIs" dxfId="54" priority="4" operator="lessThan">
      <formula>$M$41</formula>
    </cfRule>
  </conditionalFormatting>
  <conditionalFormatting sqref="M32:N40">
    <cfRule type="cellIs" dxfId="53" priority="2" operator="lessThan">
      <formula>$L$40</formula>
    </cfRule>
  </conditionalFormatting>
  <conditionalFormatting sqref="N3:N30">
    <cfRule type="cellIs" dxfId="52" priority="3" operator="lessThan">
      <formula>$N$41</formula>
    </cfRule>
  </conditionalFormatting>
  <conditionalFormatting sqref="N31">
    <cfRule type="cellIs" dxfId="51" priority="1" operator="lessThan">
      <formula>$M$41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15BD7-C45D-4E76-8136-F209B019F443}">
  <sheetPr>
    <tabColor rgb="FFFF0000"/>
  </sheetPr>
  <dimension ref="A1:G42"/>
  <sheetViews>
    <sheetView showGridLines="0" workbookViewId="0">
      <pane xSplit="3" ySplit="2" topLeftCell="D3" activePane="bottomRight" state="frozen"/>
      <selection pane="topRight" activeCell="F1" sqref="F1"/>
      <selection pane="bottomLeft" activeCell="A3" sqref="A3"/>
      <selection pane="bottomRight" activeCell="D7" sqref="D7:G28"/>
    </sheetView>
  </sheetViews>
  <sheetFormatPr defaultColWidth="9.140625" defaultRowHeight="15" x14ac:dyDescent="0.25"/>
  <cols>
    <col min="1" max="7" width="19.28515625" style="7" customWidth="1"/>
  </cols>
  <sheetData>
    <row r="1" spans="1:7" ht="18.75" x14ac:dyDescent="0.3">
      <c r="A1" s="1"/>
      <c r="B1" s="59"/>
      <c r="C1" s="59" t="s">
        <v>92</v>
      </c>
      <c r="D1" s="59" t="s">
        <v>135</v>
      </c>
      <c r="E1" s="59" t="s">
        <v>93</v>
      </c>
      <c r="F1" s="59" t="s">
        <v>134</v>
      </c>
      <c r="G1" s="59" t="s">
        <v>95</v>
      </c>
    </row>
    <row r="2" spans="1:7" ht="18.75" x14ac:dyDescent="0.3">
      <c r="A2" s="3" t="s">
        <v>0</v>
      </c>
      <c r="B2" s="3" t="s">
        <v>1</v>
      </c>
      <c r="C2" s="3" t="s">
        <v>89</v>
      </c>
      <c r="D2" s="3" t="s">
        <v>89</v>
      </c>
      <c r="E2" s="3" t="s">
        <v>89</v>
      </c>
      <c r="F2" s="3" t="s">
        <v>89</v>
      </c>
      <c r="G2" s="3" t="s">
        <v>89</v>
      </c>
    </row>
    <row r="3" spans="1:7" x14ac:dyDescent="0.25">
      <c r="A3" s="19" t="s">
        <v>67</v>
      </c>
      <c r="B3" s="19" t="s">
        <v>68</v>
      </c>
      <c r="C3" s="19">
        <v>184</v>
      </c>
      <c r="D3" s="19">
        <v>138</v>
      </c>
      <c r="E3" s="19">
        <v>138</v>
      </c>
      <c r="F3" s="50">
        <f t="shared" ref="F3:F31" si="0">D3/C3</f>
        <v>0.75</v>
      </c>
      <c r="G3" s="50">
        <f t="shared" ref="G3:G31" si="1">E3/C3</f>
        <v>0.75</v>
      </c>
    </row>
    <row r="4" spans="1:7" x14ac:dyDescent="0.25">
      <c r="A4" s="20" t="s">
        <v>6</v>
      </c>
      <c r="B4" s="20" t="s">
        <v>7</v>
      </c>
      <c r="C4" s="20">
        <v>47635</v>
      </c>
      <c r="D4" s="20">
        <v>29710</v>
      </c>
      <c r="E4" s="20">
        <v>5370</v>
      </c>
      <c r="F4" s="51">
        <f t="shared" si="0"/>
        <v>0.62370106014485149</v>
      </c>
      <c r="G4" s="51">
        <f t="shared" si="1"/>
        <v>0.11273223470137504</v>
      </c>
    </row>
    <row r="5" spans="1:7" x14ac:dyDescent="0.25">
      <c r="A5" s="19" t="s">
        <v>60</v>
      </c>
      <c r="B5" s="19" t="s">
        <v>61</v>
      </c>
      <c r="C5" s="19">
        <v>3424</v>
      </c>
      <c r="D5" s="19">
        <v>1924</v>
      </c>
      <c r="E5" s="19">
        <v>243</v>
      </c>
      <c r="F5" s="50">
        <f t="shared" si="0"/>
        <v>0.56191588785046731</v>
      </c>
      <c r="G5" s="50">
        <f t="shared" si="1"/>
        <v>7.0969626168224303E-2</v>
      </c>
    </row>
    <row r="6" spans="1:7" x14ac:dyDescent="0.25">
      <c r="A6" s="20" t="s">
        <v>14</v>
      </c>
      <c r="B6" s="20" t="s">
        <v>15</v>
      </c>
      <c r="C6" s="20">
        <v>6301</v>
      </c>
      <c r="D6" s="20">
        <v>3527</v>
      </c>
      <c r="E6" s="20">
        <v>468</v>
      </c>
      <c r="F6" s="51">
        <f t="shared" si="0"/>
        <v>0.55975242025075389</v>
      </c>
      <c r="G6" s="51">
        <f t="shared" si="1"/>
        <v>7.4273924773845423E-2</v>
      </c>
    </row>
    <row r="7" spans="1:7" x14ac:dyDescent="0.25">
      <c r="A7" s="19" t="s">
        <v>48</v>
      </c>
      <c r="B7" s="19" t="s">
        <v>49</v>
      </c>
      <c r="C7" s="19">
        <v>7529</v>
      </c>
      <c r="D7" s="19">
        <v>3896</v>
      </c>
      <c r="E7" s="19">
        <v>473</v>
      </c>
      <c r="F7" s="50">
        <f t="shared" si="0"/>
        <v>0.51746579891087796</v>
      </c>
      <c r="G7" s="50">
        <f t="shared" si="1"/>
        <v>6.2823748173728253E-2</v>
      </c>
    </row>
    <row r="8" spans="1:7" x14ac:dyDescent="0.25">
      <c r="A8" s="20" t="s">
        <v>34</v>
      </c>
      <c r="B8" s="20" t="s">
        <v>35</v>
      </c>
      <c r="C8" s="20">
        <v>4413</v>
      </c>
      <c r="D8" s="20">
        <v>2214</v>
      </c>
      <c r="E8" s="20">
        <v>226</v>
      </c>
      <c r="F8" s="51">
        <f t="shared" si="0"/>
        <v>0.5016995241332427</v>
      </c>
      <c r="G8" s="51">
        <f t="shared" si="1"/>
        <v>5.1212327215046455E-2</v>
      </c>
    </row>
    <row r="9" spans="1:7" x14ac:dyDescent="0.25">
      <c r="A9" s="19" t="s">
        <v>50</v>
      </c>
      <c r="B9" s="19" t="s">
        <v>51</v>
      </c>
      <c r="C9" s="19">
        <v>5947</v>
      </c>
      <c r="D9" s="19">
        <v>2951</v>
      </c>
      <c r="E9" s="19">
        <v>384</v>
      </c>
      <c r="F9" s="50">
        <f t="shared" si="0"/>
        <v>0.49621657978812844</v>
      </c>
      <c r="G9" s="50">
        <f t="shared" si="1"/>
        <v>6.4570371615940814E-2</v>
      </c>
    </row>
    <row r="10" spans="1:7" x14ac:dyDescent="0.25">
      <c r="A10" s="20" t="s">
        <v>22</v>
      </c>
      <c r="B10" s="20" t="s">
        <v>23</v>
      </c>
      <c r="C10" s="20">
        <v>8808</v>
      </c>
      <c r="D10" s="20">
        <v>4361</v>
      </c>
      <c r="E10" s="20">
        <v>875</v>
      </c>
      <c r="F10" s="51">
        <f t="shared" si="0"/>
        <v>0.49511807447774753</v>
      </c>
      <c r="G10" s="51">
        <f t="shared" si="1"/>
        <v>9.934150772025431E-2</v>
      </c>
    </row>
    <row r="11" spans="1:7" x14ac:dyDescent="0.25">
      <c r="A11" s="19" t="s">
        <v>28</v>
      </c>
      <c r="B11" s="19" t="s">
        <v>29</v>
      </c>
      <c r="C11" s="19">
        <v>11535</v>
      </c>
      <c r="D11" s="19">
        <v>5574</v>
      </c>
      <c r="E11" s="19">
        <v>565</v>
      </c>
      <c r="F11" s="50">
        <f t="shared" si="0"/>
        <v>0.48322496749024707</v>
      </c>
      <c r="G11" s="50">
        <f t="shared" si="1"/>
        <v>4.8981361074989162E-2</v>
      </c>
    </row>
    <row r="12" spans="1:7" x14ac:dyDescent="0.25">
      <c r="A12" s="20" t="s">
        <v>36</v>
      </c>
      <c r="B12" s="20" t="s">
        <v>37</v>
      </c>
      <c r="C12" s="20">
        <v>5105</v>
      </c>
      <c r="D12" s="20">
        <v>2459</v>
      </c>
      <c r="E12" s="20">
        <v>182</v>
      </c>
      <c r="F12" s="51">
        <f t="shared" si="0"/>
        <v>0.48168462291870717</v>
      </c>
      <c r="G12" s="51">
        <f t="shared" si="1"/>
        <v>3.5651322233104799E-2</v>
      </c>
    </row>
    <row r="13" spans="1:7" x14ac:dyDescent="0.25">
      <c r="A13" s="19" t="s">
        <v>65</v>
      </c>
      <c r="B13" s="19" t="s">
        <v>66</v>
      </c>
      <c r="C13" s="19">
        <v>389</v>
      </c>
      <c r="D13" s="19">
        <v>187</v>
      </c>
      <c r="E13" s="19">
        <v>1</v>
      </c>
      <c r="F13" s="50">
        <f t="shared" si="0"/>
        <v>0.48071979434447298</v>
      </c>
      <c r="G13" s="50">
        <f t="shared" si="1"/>
        <v>2.5706940874035988E-3</v>
      </c>
    </row>
    <row r="14" spans="1:7" x14ac:dyDescent="0.25">
      <c r="A14" s="20" t="s">
        <v>42</v>
      </c>
      <c r="B14" s="20" t="s">
        <v>43</v>
      </c>
      <c r="C14" s="20">
        <v>4322</v>
      </c>
      <c r="D14" s="20">
        <v>2010</v>
      </c>
      <c r="E14" s="20">
        <v>284</v>
      </c>
      <c r="F14" s="51">
        <f t="shared" si="0"/>
        <v>0.46506247107820453</v>
      </c>
      <c r="G14" s="51">
        <f t="shared" si="1"/>
        <v>6.5710319296621938E-2</v>
      </c>
    </row>
    <row r="15" spans="1:7" x14ac:dyDescent="0.25">
      <c r="A15" s="19" t="s">
        <v>10</v>
      </c>
      <c r="B15" s="19" t="s">
        <v>11</v>
      </c>
      <c r="C15" s="19">
        <v>13576</v>
      </c>
      <c r="D15" s="19">
        <v>6284</v>
      </c>
      <c r="E15" s="19">
        <v>820</v>
      </c>
      <c r="F15" s="50">
        <f t="shared" si="0"/>
        <v>0.46287566293459043</v>
      </c>
      <c r="G15" s="50">
        <f t="shared" si="1"/>
        <v>6.0400707130229818E-2</v>
      </c>
    </row>
    <row r="16" spans="1:7" x14ac:dyDescent="0.25">
      <c r="A16" s="20" t="s">
        <v>54</v>
      </c>
      <c r="B16" s="20" t="s">
        <v>55</v>
      </c>
      <c r="C16" s="20">
        <v>3239</v>
      </c>
      <c r="D16" s="20">
        <v>1482</v>
      </c>
      <c r="E16" s="20">
        <v>103</v>
      </c>
      <c r="F16" s="51">
        <f t="shared" si="0"/>
        <v>0.45754862611917257</v>
      </c>
      <c r="G16" s="51">
        <f t="shared" si="1"/>
        <v>3.179993825254708E-2</v>
      </c>
    </row>
    <row r="17" spans="1:7" x14ac:dyDescent="0.25">
      <c r="A17" s="19" t="s">
        <v>40</v>
      </c>
      <c r="B17" s="19" t="s">
        <v>41</v>
      </c>
      <c r="C17" s="19">
        <v>5153</v>
      </c>
      <c r="D17" s="19">
        <v>2337</v>
      </c>
      <c r="E17" s="19">
        <v>220</v>
      </c>
      <c r="F17" s="50">
        <f t="shared" si="0"/>
        <v>0.45352222006598097</v>
      </c>
      <c r="G17" s="50">
        <f t="shared" si="1"/>
        <v>4.2693576557345236E-2</v>
      </c>
    </row>
    <row r="18" spans="1:7" x14ac:dyDescent="0.25">
      <c r="A18" s="20" t="s">
        <v>46</v>
      </c>
      <c r="B18" s="20" t="s">
        <v>47</v>
      </c>
      <c r="C18" s="20">
        <v>4126</v>
      </c>
      <c r="D18" s="20">
        <v>1861</v>
      </c>
      <c r="E18" s="20">
        <v>220</v>
      </c>
      <c r="F18" s="51">
        <f t="shared" si="0"/>
        <v>0.4510421715947649</v>
      </c>
      <c r="G18" s="51">
        <f t="shared" si="1"/>
        <v>5.3320407174018418E-2</v>
      </c>
    </row>
    <row r="19" spans="1:7" x14ac:dyDescent="0.25">
      <c r="A19" s="19" t="s">
        <v>24</v>
      </c>
      <c r="B19" s="19" t="s">
        <v>25</v>
      </c>
      <c r="C19" s="19">
        <v>10670</v>
      </c>
      <c r="D19" s="19">
        <v>4666</v>
      </c>
      <c r="E19" s="19">
        <v>608</v>
      </c>
      <c r="F19" s="50">
        <f t="shared" si="0"/>
        <v>0.43730084348641052</v>
      </c>
      <c r="G19" s="50">
        <f t="shared" si="1"/>
        <v>5.6982193064667293E-2</v>
      </c>
    </row>
    <row r="20" spans="1:7" x14ac:dyDescent="0.25">
      <c r="A20" s="20" t="s">
        <v>12</v>
      </c>
      <c r="B20" s="20" t="s">
        <v>13</v>
      </c>
      <c r="C20" s="20">
        <v>15027</v>
      </c>
      <c r="D20" s="20">
        <v>6557</v>
      </c>
      <c r="E20" s="20">
        <v>709</v>
      </c>
      <c r="F20" s="51">
        <f t="shared" si="0"/>
        <v>0.43634790710055232</v>
      </c>
      <c r="G20" s="51">
        <f t="shared" si="1"/>
        <v>4.7181739535502761E-2</v>
      </c>
    </row>
    <row r="21" spans="1:7" x14ac:dyDescent="0.25">
      <c r="A21" s="19" t="s">
        <v>26</v>
      </c>
      <c r="B21" s="19" t="s">
        <v>27</v>
      </c>
      <c r="C21" s="19">
        <v>5950</v>
      </c>
      <c r="D21" s="19">
        <v>2469</v>
      </c>
      <c r="E21" s="19">
        <v>306</v>
      </c>
      <c r="F21" s="50">
        <f t="shared" si="0"/>
        <v>0.41495798319327731</v>
      </c>
      <c r="G21" s="50">
        <f t="shared" si="1"/>
        <v>5.1428571428571428E-2</v>
      </c>
    </row>
    <row r="22" spans="1:7" x14ac:dyDescent="0.25">
      <c r="A22" s="20" t="s">
        <v>32</v>
      </c>
      <c r="B22" s="20" t="s">
        <v>33</v>
      </c>
      <c r="C22" s="20">
        <v>5922</v>
      </c>
      <c r="D22" s="20">
        <v>2279</v>
      </c>
      <c r="E22" s="20">
        <v>189</v>
      </c>
      <c r="F22" s="51">
        <f t="shared" si="0"/>
        <v>0.38483620398514018</v>
      </c>
      <c r="G22" s="51">
        <f t="shared" si="1"/>
        <v>3.1914893617021274E-2</v>
      </c>
    </row>
    <row r="23" spans="1:7" x14ac:dyDescent="0.25">
      <c r="A23" s="19" t="s">
        <v>20</v>
      </c>
      <c r="B23" s="19" t="s">
        <v>21</v>
      </c>
      <c r="C23" s="19">
        <v>6504</v>
      </c>
      <c r="D23" s="19">
        <v>2447</v>
      </c>
      <c r="E23" s="19">
        <v>253</v>
      </c>
      <c r="F23" s="50">
        <f t="shared" si="0"/>
        <v>0.37623001230012298</v>
      </c>
      <c r="G23" s="50">
        <f t="shared" si="1"/>
        <v>3.8899138991389914E-2</v>
      </c>
    </row>
    <row r="24" spans="1:7" x14ac:dyDescent="0.25">
      <c r="A24" s="20" t="s">
        <v>16</v>
      </c>
      <c r="B24" s="20" t="s">
        <v>17</v>
      </c>
      <c r="C24" s="20">
        <v>8812</v>
      </c>
      <c r="D24" s="20">
        <v>3312</v>
      </c>
      <c r="E24" s="20">
        <v>381</v>
      </c>
      <c r="F24" s="51">
        <f t="shared" si="0"/>
        <v>0.37585111211983657</v>
      </c>
      <c r="G24" s="51">
        <f t="shared" si="1"/>
        <v>4.3236495687698592E-2</v>
      </c>
    </row>
    <row r="25" spans="1:7" x14ac:dyDescent="0.25">
      <c r="A25" s="19" t="s">
        <v>8</v>
      </c>
      <c r="B25" s="19" t="s">
        <v>9</v>
      </c>
      <c r="C25" s="19">
        <v>16152</v>
      </c>
      <c r="D25" s="19">
        <v>5983</v>
      </c>
      <c r="E25" s="19">
        <v>630</v>
      </c>
      <c r="F25" s="50">
        <f t="shared" si="0"/>
        <v>0.37041852402179298</v>
      </c>
      <c r="G25" s="50">
        <f t="shared" si="1"/>
        <v>3.9004457652303121E-2</v>
      </c>
    </row>
    <row r="26" spans="1:7" x14ac:dyDescent="0.25">
      <c r="A26" s="20" t="s">
        <v>18</v>
      </c>
      <c r="B26" s="20" t="s">
        <v>19</v>
      </c>
      <c r="C26" s="20">
        <v>11901</v>
      </c>
      <c r="D26" s="20">
        <v>4249</v>
      </c>
      <c r="E26" s="20">
        <v>681</v>
      </c>
      <c r="F26" s="51">
        <f t="shared" si="0"/>
        <v>0.35702882110746997</v>
      </c>
      <c r="G26" s="51">
        <f t="shared" si="1"/>
        <v>5.7222082177968238E-2</v>
      </c>
    </row>
    <row r="27" spans="1:7" x14ac:dyDescent="0.25">
      <c r="A27" s="19" t="s">
        <v>38</v>
      </c>
      <c r="B27" s="19" t="s">
        <v>39</v>
      </c>
      <c r="C27" s="19">
        <v>6091</v>
      </c>
      <c r="D27" s="19">
        <v>2127</v>
      </c>
      <c r="E27" s="19">
        <v>219</v>
      </c>
      <c r="F27" s="50">
        <f t="shared" si="0"/>
        <v>0.34920374322771303</v>
      </c>
      <c r="G27" s="50">
        <f t="shared" si="1"/>
        <v>3.5954687243473976E-2</v>
      </c>
    </row>
    <row r="28" spans="1:7" x14ac:dyDescent="0.25">
      <c r="A28" s="20" t="s">
        <v>44</v>
      </c>
      <c r="B28" s="20" t="s">
        <v>45</v>
      </c>
      <c r="C28" s="20">
        <v>5514</v>
      </c>
      <c r="D28" s="20">
        <v>1865</v>
      </c>
      <c r="E28" s="20">
        <v>266</v>
      </c>
      <c r="F28" s="51">
        <f t="shared" si="0"/>
        <v>0.33822996010155965</v>
      </c>
      <c r="G28" s="51">
        <f t="shared" si="1"/>
        <v>4.8240841494377948E-2</v>
      </c>
    </row>
    <row r="29" spans="1:7" x14ac:dyDescent="0.25">
      <c r="A29" s="19" t="s">
        <v>56</v>
      </c>
      <c r="B29" s="19" t="s">
        <v>57</v>
      </c>
      <c r="C29" s="19">
        <v>9261</v>
      </c>
      <c r="D29" s="19">
        <v>2849</v>
      </c>
      <c r="E29" s="19">
        <v>780</v>
      </c>
      <c r="F29" s="50">
        <f t="shared" si="0"/>
        <v>0.30763416477702193</v>
      </c>
      <c r="G29" s="50">
        <f t="shared" si="1"/>
        <v>8.4224165856818911E-2</v>
      </c>
    </row>
    <row r="30" spans="1:7" x14ac:dyDescent="0.25">
      <c r="A30" s="20" t="s">
        <v>30</v>
      </c>
      <c r="B30" s="20" t="s">
        <v>31</v>
      </c>
      <c r="C30" s="20">
        <v>3691</v>
      </c>
      <c r="D30" s="20">
        <v>1061</v>
      </c>
      <c r="E30" s="20">
        <v>683</v>
      </c>
      <c r="F30" s="51">
        <f t="shared" si="0"/>
        <v>0.28745597399078843</v>
      </c>
      <c r="G30" s="51">
        <f t="shared" si="1"/>
        <v>0.18504470333243023</v>
      </c>
    </row>
    <row r="31" spans="1:7" x14ac:dyDescent="0.25">
      <c r="A31" s="19" t="s">
        <v>62</v>
      </c>
      <c r="B31" s="19" t="s">
        <v>63</v>
      </c>
      <c r="C31" s="19">
        <v>2976</v>
      </c>
      <c r="D31" s="19">
        <v>809</v>
      </c>
      <c r="E31" s="19">
        <v>90</v>
      </c>
      <c r="F31" s="50">
        <f t="shared" si="0"/>
        <v>0.27184139784946237</v>
      </c>
      <c r="G31" s="50">
        <f t="shared" si="1"/>
        <v>3.0241935483870969E-2</v>
      </c>
    </row>
    <row r="32" spans="1:7" x14ac:dyDescent="0.25">
      <c r="A32" s="20" t="s">
        <v>52</v>
      </c>
      <c r="B32" s="20" t="s">
        <v>53</v>
      </c>
      <c r="C32" s="20">
        <v>0</v>
      </c>
      <c r="D32" s="20">
        <v>0</v>
      </c>
      <c r="E32" s="20">
        <v>0</v>
      </c>
      <c r="F32" s="51">
        <v>0</v>
      </c>
      <c r="G32" s="51">
        <v>0</v>
      </c>
    </row>
    <row r="33" spans="1:7" x14ac:dyDescent="0.25">
      <c r="A33" s="19" t="s">
        <v>52</v>
      </c>
      <c r="B33" s="19" t="s">
        <v>58</v>
      </c>
      <c r="C33" s="19">
        <v>0</v>
      </c>
      <c r="D33" s="19">
        <v>0</v>
      </c>
      <c r="E33" s="19">
        <v>0</v>
      </c>
      <c r="F33" s="50">
        <v>0</v>
      </c>
      <c r="G33" s="50">
        <v>0</v>
      </c>
    </row>
    <row r="34" spans="1:7" x14ac:dyDescent="0.25">
      <c r="A34" s="20" t="s">
        <v>52</v>
      </c>
      <c r="B34" s="20" t="s">
        <v>59</v>
      </c>
      <c r="C34" s="20">
        <v>0</v>
      </c>
      <c r="D34" s="20">
        <v>0</v>
      </c>
      <c r="E34" s="20">
        <v>0</v>
      </c>
      <c r="F34" s="51">
        <v>0</v>
      </c>
      <c r="G34" s="51">
        <v>0</v>
      </c>
    </row>
    <row r="35" spans="1:7" x14ac:dyDescent="0.25">
      <c r="A35" s="19" t="s">
        <v>52</v>
      </c>
      <c r="B35" s="19" t="s">
        <v>64</v>
      </c>
      <c r="C35" s="19">
        <v>0</v>
      </c>
      <c r="D35" s="19">
        <v>0</v>
      </c>
      <c r="E35" s="19">
        <v>0</v>
      </c>
      <c r="F35" s="50">
        <v>0</v>
      </c>
      <c r="G35" s="50">
        <v>0</v>
      </c>
    </row>
    <row r="36" spans="1:7" x14ac:dyDescent="0.25">
      <c r="A36" s="20" t="s">
        <v>52</v>
      </c>
      <c r="B36" s="20" t="s">
        <v>69</v>
      </c>
      <c r="C36" s="20">
        <v>0</v>
      </c>
      <c r="D36" s="20">
        <v>0</v>
      </c>
      <c r="E36" s="20">
        <v>0</v>
      </c>
      <c r="F36" s="51">
        <v>0</v>
      </c>
      <c r="G36" s="51">
        <v>0</v>
      </c>
    </row>
    <row r="37" spans="1:7" x14ac:dyDescent="0.25">
      <c r="A37" s="19" t="s">
        <v>52</v>
      </c>
      <c r="B37" s="19" t="s">
        <v>70</v>
      </c>
      <c r="C37" s="19">
        <v>0</v>
      </c>
      <c r="D37" s="19">
        <v>0</v>
      </c>
      <c r="E37" s="19">
        <v>0</v>
      </c>
      <c r="F37" s="50">
        <v>0</v>
      </c>
      <c r="G37" s="50">
        <v>0</v>
      </c>
    </row>
    <row r="38" spans="1:7" x14ac:dyDescent="0.25">
      <c r="A38" s="20" t="s">
        <v>52</v>
      </c>
      <c r="B38" s="20" t="s">
        <v>71</v>
      </c>
      <c r="C38" s="20">
        <v>0</v>
      </c>
      <c r="D38" s="20">
        <v>0</v>
      </c>
      <c r="E38" s="20">
        <v>0</v>
      </c>
      <c r="F38" s="51">
        <v>0</v>
      </c>
      <c r="G38" s="51">
        <v>0</v>
      </c>
    </row>
    <row r="39" spans="1:7" x14ac:dyDescent="0.25">
      <c r="A39" s="19" t="s">
        <v>52</v>
      </c>
      <c r="B39" s="19" t="s">
        <v>72</v>
      </c>
      <c r="C39" s="19">
        <v>0</v>
      </c>
      <c r="D39" s="19">
        <v>0</v>
      </c>
      <c r="E39" s="19">
        <v>0</v>
      </c>
      <c r="F39" s="50">
        <v>0</v>
      </c>
      <c r="G39" s="50">
        <v>0</v>
      </c>
    </row>
    <row r="40" spans="1:7" x14ac:dyDescent="0.25">
      <c r="A40" s="20" t="s">
        <v>52</v>
      </c>
      <c r="B40" s="20" t="s">
        <v>73</v>
      </c>
      <c r="C40" s="20">
        <v>0</v>
      </c>
      <c r="D40" s="20">
        <v>0</v>
      </c>
      <c r="E40" s="20">
        <v>0</v>
      </c>
      <c r="F40" s="51">
        <v>0</v>
      </c>
      <c r="G40" s="51">
        <v>0</v>
      </c>
    </row>
    <row r="41" spans="1:7" ht="15.75" x14ac:dyDescent="0.25">
      <c r="A41" s="21"/>
      <c r="B41" s="21" t="s">
        <v>74</v>
      </c>
      <c r="C41" s="21">
        <f>SUM(C3:C40)</f>
        <v>240157</v>
      </c>
      <c r="D41" s="21">
        <f>SUM(D3:D40)</f>
        <v>111588</v>
      </c>
      <c r="E41" s="22">
        <f>SUM(E3:E40)</f>
        <v>16367</v>
      </c>
      <c r="F41" s="25">
        <f>D41/C41</f>
        <v>0.46464604404618648</v>
      </c>
      <c r="G41" s="26">
        <f>E41/C41</f>
        <v>6.815125105660047E-2</v>
      </c>
    </row>
    <row r="42" spans="1:7" x14ac:dyDescent="0.25">
      <c r="D42" s="7">
        <v>90000</v>
      </c>
      <c r="F42" s="85">
        <f>D42/C41</f>
        <v>0.37475484787035146</v>
      </c>
    </row>
  </sheetData>
  <autoFilter ref="A2:Q2" xr:uid="{B7C15BD7-C45D-4E76-8136-F209B019F443}">
    <sortState xmlns:xlrd2="http://schemas.microsoft.com/office/spreadsheetml/2017/richdata2" ref="A3:Q41">
      <sortCondition descending="1" ref="F2"/>
    </sortState>
  </autoFilter>
  <conditionalFormatting sqref="F3:F40">
    <cfRule type="cellIs" dxfId="50" priority="2" operator="lessThan">
      <formula>$F$41</formula>
    </cfRule>
  </conditionalFormatting>
  <conditionalFormatting sqref="G3:G40">
    <cfRule type="cellIs" dxfId="49" priority="1" operator="lessThan">
      <formula>$G$41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71EB-9662-4AD7-9CFE-3D3C0445DFDA}">
  <sheetPr>
    <tabColor rgb="FFFFC000"/>
  </sheetPr>
  <dimension ref="A1:H51"/>
  <sheetViews>
    <sheetView showGridLines="0" zoomScale="84" workbookViewId="0">
      <selection activeCell="H23" sqref="H23"/>
    </sheetView>
  </sheetViews>
  <sheetFormatPr defaultRowHeight="15" x14ac:dyDescent="0.25"/>
  <cols>
    <col min="1" max="1" width="10.42578125" bestFit="1" customWidth="1"/>
    <col min="2" max="2" width="21.42578125" bestFit="1" customWidth="1"/>
    <col min="3" max="3" width="15.85546875" bestFit="1" customWidth="1"/>
    <col min="4" max="4" width="30.5703125" style="7" bestFit="1" customWidth="1"/>
    <col min="5" max="5" width="31.5703125" bestFit="1" customWidth="1"/>
    <col min="6" max="7" width="15.140625" style="7" bestFit="1" customWidth="1"/>
    <col min="8" max="8" width="35.7109375" style="7" bestFit="1" customWidth="1"/>
  </cols>
  <sheetData>
    <row r="1" spans="1:8" ht="18.75" x14ac:dyDescent="0.3">
      <c r="A1" s="56"/>
      <c r="B1" s="56"/>
      <c r="C1" s="54"/>
      <c r="D1" s="55" t="s">
        <v>137</v>
      </c>
      <c r="E1" s="2" t="s">
        <v>140</v>
      </c>
      <c r="F1" s="99" t="s">
        <v>81</v>
      </c>
      <c r="G1" s="99"/>
      <c r="H1" s="65" t="s">
        <v>141</v>
      </c>
    </row>
    <row r="2" spans="1:8" ht="18.75" x14ac:dyDescent="0.3">
      <c r="A2" s="54" t="s">
        <v>0</v>
      </c>
      <c r="B2" s="54" t="s">
        <v>1</v>
      </c>
      <c r="C2" s="54" t="s">
        <v>4</v>
      </c>
      <c r="D2" s="55" t="s">
        <v>138</v>
      </c>
      <c r="E2" s="9" t="s">
        <v>138</v>
      </c>
      <c r="F2" s="3" t="s">
        <v>82</v>
      </c>
      <c r="G2" s="3" t="s">
        <v>83</v>
      </c>
      <c r="H2" s="3">
        <v>2026</v>
      </c>
    </row>
    <row r="3" spans="1:8" x14ac:dyDescent="0.25">
      <c r="A3" s="20" t="s">
        <v>14</v>
      </c>
      <c r="B3" s="20" t="s">
        <v>15</v>
      </c>
      <c r="C3" s="20">
        <v>2711</v>
      </c>
      <c r="D3" s="20">
        <v>461</v>
      </c>
      <c r="E3" s="20">
        <v>531</v>
      </c>
      <c r="F3" s="20">
        <f t="shared" ref="F3:F40" si="0">E3-D3</f>
        <v>70</v>
      </c>
      <c r="G3" s="37">
        <f>F3/D3</f>
        <v>0.15184381778741865</v>
      </c>
      <c r="H3" s="37">
        <f>E3/C3</f>
        <v>0.19586868314275174</v>
      </c>
    </row>
    <row r="4" spans="1:8" x14ac:dyDescent="0.25">
      <c r="A4" s="19" t="s">
        <v>56</v>
      </c>
      <c r="B4" s="19" t="s">
        <v>57</v>
      </c>
      <c r="C4" s="19">
        <v>312</v>
      </c>
      <c r="D4" s="19">
        <v>245</v>
      </c>
      <c r="E4" s="19">
        <v>308</v>
      </c>
      <c r="F4" s="19">
        <f t="shared" si="0"/>
        <v>63</v>
      </c>
      <c r="G4" s="36">
        <f>F4/D4</f>
        <v>0.25714285714285712</v>
      </c>
      <c r="H4" s="36">
        <f>E4/C4</f>
        <v>0.98717948717948723</v>
      </c>
    </row>
    <row r="5" spans="1:8" x14ac:dyDescent="0.25">
      <c r="A5" s="20" t="s">
        <v>6</v>
      </c>
      <c r="B5" s="20" t="s">
        <v>7</v>
      </c>
      <c r="C5" s="20">
        <v>21396</v>
      </c>
      <c r="D5" s="20">
        <v>4168</v>
      </c>
      <c r="E5" s="20">
        <v>4216</v>
      </c>
      <c r="F5" s="20">
        <f t="shared" si="0"/>
        <v>48</v>
      </c>
      <c r="G5" s="37"/>
      <c r="H5" s="37">
        <f>E5/C5</f>
        <v>0.197046176855487</v>
      </c>
    </row>
    <row r="6" spans="1:8" x14ac:dyDescent="0.25">
      <c r="A6" s="20" t="s">
        <v>50</v>
      </c>
      <c r="B6" s="20" t="s">
        <v>51</v>
      </c>
      <c r="C6" s="20">
        <v>940</v>
      </c>
      <c r="D6" s="20">
        <v>286</v>
      </c>
      <c r="E6" s="20">
        <v>329</v>
      </c>
      <c r="F6" s="20">
        <f t="shared" si="0"/>
        <v>43</v>
      </c>
      <c r="G6" s="37">
        <f>F6/D6</f>
        <v>0.15034965034965034</v>
      </c>
      <c r="H6" s="37">
        <f>E6/C6</f>
        <v>0.35</v>
      </c>
    </row>
    <row r="7" spans="1:8" x14ac:dyDescent="0.25">
      <c r="A7" s="19" t="s">
        <v>65</v>
      </c>
      <c r="B7" s="19" t="s">
        <v>66</v>
      </c>
      <c r="C7" s="19">
        <v>269</v>
      </c>
      <c r="D7" s="19">
        <v>43</v>
      </c>
      <c r="E7" s="19">
        <v>79</v>
      </c>
      <c r="F7" s="19">
        <f t="shared" si="0"/>
        <v>36</v>
      </c>
      <c r="G7" s="36"/>
      <c r="H7" s="36">
        <f t="shared" ref="H7:H41" si="1">E7/C7</f>
        <v>0.29368029739776952</v>
      </c>
    </row>
    <row r="8" spans="1:8" x14ac:dyDescent="0.25">
      <c r="A8" s="20" t="s">
        <v>18</v>
      </c>
      <c r="B8" s="20" t="s">
        <v>19</v>
      </c>
      <c r="C8" s="20">
        <v>2529</v>
      </c>
      <c r="D8" s="20">
        <v>400</v>
      </c>
      <c r="E8" s="20">
        <v>427</v>
      </c>
      <c r="F8" s="20">
        <f t="shared" si="0"/>
        <v>27</v>
      </c>
      <c r="G8" s="37">
        <f>F8/D8</f>
        <v>6.7500000000000004E-2</v>
      </c>
      <c r="H8" s="37">
        <f t="shared" si="1"/>
        <v>0.16884143930407275</v>
      </c>
    </row>
    <row r="9" spans="1:8" x14ac:dyDescent="0.25">
      <c r="A9" s="20" t="s">
        <v>54</v>
      </c>
      <c r="B9" s="20" t="s">
        <v>55</v>
      </c>
      <c r="C9" s="20">
        <v>949</v>
      </c>
      <c r="D9" s="20">
        <v>113</v>
      </c>
      <c r="E9" s="20">
        <v>136</v>
      </c>
      <c r="F9" s="20">
        <f t="shared" si="0"/>
        <v>23</v>
      </c>
      <c r="G9" s="37">
        <f>F9/D9</f>
        <v>0.20353982300884957</v>
      </c>
      <c r="H9" s="37">
        <f t="shared" si="1"/>
        <v>0.14330874604847207</v>
      </c>
    </row>
    <row r="10" spans="1:8" x14ac:dyDescent="0.25">
      <c r="A10" s="19" t="s">
        <v>28</v>
      </c>
      <c r="B10" s="19" t="s">
        <v>29</v>
      </c>
      <c r="C10" s="19">
        <v>4317</v>
      </c>
      <c r="D10" s="19">
        <v>439</v>
      </c>
      <c r="E10" s="19">
        <v>459</v>
      </c>
      <c r="F10" s="19">
        <f t="shared" si="0"/>
        <v>20</v>
      </c>
      <c r="G10" s="36">
        <f>F10/D10</f>
        <v>4.5558086560364468E-2</v>
      </c>
      <c r="H10" s="36">
        <f t="shared" si="1"/>
        <v>0.1063238359972203</v>
      </c>
    </row>
    <row r="11" spans="1:8" x14ac:dyDescent="0.25">
      <c r="A11" s="20" t="s">
        <v>67</v>
      </c>
      <c r="B11" s="20" t="s">
        <v>68</v>
      </c>
      <c r="C11" s="20">
        <v>93</v>
      </c>
      <c r="D11" s="20">
        <v>6</v>
      </c>
      <c r="E11" s="20">
        <v>26</v>
      </c>
      <c r="F11" s="20">
        <f t="shared" si="0"/>
        <v>20</v>
      </c>
      <c r="G11" s="37"/>
      <c r="H11" s="37">
        <f t="shared" si="1"/>
        <v>0.27956989247311825</v>
      </c>
    </row>
    <row r="12" spans="1:8" x14ac:dyDescent="0.25">
      <c r="A12" s="20" t="s">
        <v>60</v>
      </c>
      <c r="B12" s="20" t="s">
        <v>61</v>
      </c>
      <c r="C12" s="20">
        <v>282</v>
      </c>
      <c r="D12" s="20">
        <v>174</v>
      </c>
      <c r="E12" s="20">
        <v>191</v>
      </c>
      <c r="F12" s="20">
        <f t="shared" si="0"/>
        <v>17</v>
      </c>
      <c r="G12" s="37">
        <f>F12/D12</f>
        <v>9.7701149425287362E-2</v>
      </c>
      <c r="H12" s="37">
        <f t="shared" si="1"/>
        <v>0.67730496453900713</v>
      </c>
    </row>
    <row r="13" spans="1:8" x14ac:dyDescent="0.25">
      <c r="A13" s="19" t="s">
        <v>32</v>
      </c>
      <c r="B13" s="19" t="s">
        <v>33</v>
      </c>
      <c r="C13" s="19">
        <v>2085</v>
      </c>
      <c r="D13" s="19">
        <v>333</v>
      </c>
      <c r="E13" s="19">
        <v>346</v>
      </c>
      <c r="F13" s="19">
        <f t="shared" si="0"/>
        <v>13</v>
      </c>
      <c r="G13" s="36">
        <f>F13/D13</f>
        <v>3.903903903903904E-2</v>
      </c>
      <c r="H13" s="36">
        <f t="shared" si="1"/>
        <v>0.16594724220623502</v>
      </c>
    </row>
    <row r="14" spans="1:8" x14ac:dyDescent="0.25">
      <c r="A14" s="19" t="s">
        <v>36</v>
      </c>
      <c r="B14" s="19" t="s">
        <v>37</v>
      </c>
      <c r="C14" s="19">
        <v>1213</v>
      </c>
      <c r="D14" s="19">
        <v>259</v>
      </c>
      <c r="E14" s="19">
        <v>269</v>
      </c>
      <c r="F14" s="19">
        <f t="shared" si="0"/>
        <v>10</v>
      </c>
      <c r="G14" s="36">
        <f>F14/D14</f>
        <v>3.8610038610038609E-2</v>
      </c>
      <c r="H14" s="36">
        <f t="shared" si="1"/>
        <v>0.22176422093981862</v>
      </c>
    </row>
    <row r="15" spans="1:8" x14ac:dyDescent="0.25">
      <c r="A15" s="20" t="s">
        <v>34</v>
      </c>
      <c r="B15" s="20" t="s">
        <v>35</v>
      </c>
      <c r="C15" s="20">
        <v>1167</v>
      </c>
      <c r="D15" s="20">
        <v>249</v>
      </c>
      <c r="E15" s="20">
        <v>257</v>
      </c>
      <c r="F15" s="20">
        <f t="shared" si="0"/>
        <v>8</v>
      </c>
      <c r="G15" s="37">
        <f>F15/D15</f>
        <v>3.2128514056224897E-2</v>
      </c>
      <c r="H15" s="37">
        <f t="shared" si="1"/>
        <v>0.22022279348757498</v>
      </c>
    </row>
    <row r="16" spans="1:8" x14ac:dyDescent="0.25">
      <c r="A16" s="19" t="s">
        <v>62</v>
      </c>
      <c r="B16" s="19" t="s">
        <v>63</v>
      </c>
      <c r="C16" s="19">
        <v>266</v>
      </c>
      <c r="D16" s="19">
        <v>92</v>
      </c>
      <c r="E16" s="19">
        <v>99</v>
      </c>
      <c r="F16" s="19">
        <f t="shared" si="0"/>
        <v>7</v>
      </c>
      <c r="G16" s="36"/>
      <c r="H16" s="36">
        <f t="shared" si="1"/>
        <v>0.37218045112781956</v>
      </c>
    </row>
    <row r="17" spans="1:8" x14ac:dyDescent="0.25">
      <c r="A17" s="20" t="s">
        <v>38</v>
      </c>
      <c r="B17" s="20" t="s">
        <v>39</v>
      </c>
      <c r="C17" s="20">
        <v>1087</v>
      </c>
      <c r="D17" s="20">
        <v>249</v>
      </c>
      <c r="E17" s="20">
        <v>254</v>
      </c>
      <c r="F17" s="20">
        <f t="shared" si="0"/>
        <v>5</v>
      </c>
      <c r="G17" s="37">
        <f t="shared" ref="G17:G22" si="2">F17/D17</f>
        <v>2.0080321285140562E-2</v>
      </c>
      <c r="H17" s="37">
        <f t="shared" si="1"/>
        <v>0.23367065317387303</v>
      </c>
    </row>
    <row r="18" spans="1:8" x14ac:dyDescent="0.25">
      <c r="A18" s="20" t="s">
        <v>30</v>
      </c>
      <c r="B18" s="20" t="s">
        <v>31</v>
      </c>
      <c r="C18" s="20">
        <v>944</v>
      </c>
      <c r="D18" s="20">
        <v>98</v>
      </c>
      <c r="E18" s="20">
        <v>101</v>
      </c>
      <c r="F18" s="20">
        <f t="shared" si="0"/>
        <v>3</v>
      </c>
      <c r="G18" s="37">
        <f t="shared" si="2"/>
        <v>3.0612244897959183E-2</v>
      </c>
      <c r="H18" s="37">
        <f t="shared" si="1"/>
        <v>0.10699152542372882</v>
      </c>
    </row>
    <row r="19" spans="1:8" x14ac:dyDescent="0.25">
      <c r="A19" s="19" t="s">
        <v>24</v>
      </c>
      <c r="B19" s="19" t="s">
        <v>25</v>
      </c>
      <c r="C19" s="19">
        <v>2381</v>
      </c>
      <c r="D19" s="19">
        <v>347</v>
      </c>
      <c r="E19" s="19">
        <v>349</v>
      </c>
      <c r="F19" s="19">
        <f t="shared" si="0"/>
        <v>2</v>
      </c>
      <c r="G19" s="36">
        <f t="shared" si="2"/>
        <v>5.763688760806916E-3</v>
      </c>
      <c r="H19" s="36">
        <f t="shared" si="1"/>
        <v>0.14657706845863083</v>
      </c>
    </row>
    <row r="20" spans="1:8" x14ac:dyDescent="0.25">
      <c r="A20" s="20" t="s">
        <v>46</v>
      </c>
      <c r="B20" s="20" t="s">
        <v>47</v>
      </c>
      <c r="C20" s="20">
        <v>683</v>
      </c>
      <c r="D20" s="20">
        <v>123</v>
      </c>
      <c r="E20" s="20">
        <v>124</v>
      </c>
      <c r="F20" s="20">
        <f t="shared" si="0"/>
        <v>1</v>
      </c>
      <c r="G20" s="37">
        <f t="shared" si="2"/>
        <v>8.130081300813009E-3</v>
      </c>
      <c r="H20" s="37">
        <f t="shared" si="1"/>
        <v>0.18155197657393851</v>
      </c>
    </row>
    <row r="21" spans="1:8" x14ac:dyDescent="0.25">
      <c r="A21" s="19" t="s">
        <v>20</v>
      </c>
      <c r="B21" s="19" t="s">
        <v>21</v>
      </c>
      <c r="C21" s="19">
        <v>1868</v>
      </c>
      <c r="D21" s="19">
        <v>211</v>
      </c>
      <c r="E21" s="19">
        <v>211</v>
      </c>
      <c r="F21" s="19">
        <f t="shared" si="0"/>
        <v>0</v>
      </c>
      <c r="G21" s="36">
        <f t="shared" si="2"/>
        <v>0</v>
      </c>
      <c r="H21" s="36">
        <f t="shared" si="1"/>
        <v>0.11295503211991435</v>
      </c>
    </row>
    <row r="22" spans="1:8" x14ac:dyDescent="0.25">
      <c r="A22" s="20" t="s">
        <v>42</v>
      </c>
      <c r="B22" s="20" t="s">
        <v>43</v>
      </c>
      <c r="C22" s="20">
        <v>1048</v>
      </c>
      <c r="D22" s="20">
        <v>276</v>
      </c>
      <c r="E22" s="20">
        <v>276</v>
      </c>
      <c r="F22" s="20">
        <f t="shared" si="0"/>
        <v>0</v>
      </c>
      <c r="G22" s="37">
        <f t="shared" si="2"/>
        <v>0</v>
      </c>
      <c r="H22" s="37">
        <f t="shared" si="1"/>
        <v>0.26335877862595419</v>
      </c>
    </row>
    <row r="23" spans="1:8" x14ac:dyDescent="0.25">
      <c r="A23" s="19" t="s">
        <v>52</v>
      </c>
      <c r="B23" s="19" t="s">
        <v>53</v>
      </c>
      <c r="C23" s="19">
        <v>802</v>
      </c>
      <c r="D23" s="19">
        <v>0</v>
      </c>
      <c r="E23" s="19">
        <v>0</v>
      </c>
      <c r="F23" s="19">
        <f t="shared" si="0"/>
        <v>0</v>
      </c>
      <c r="G23" s="36">
        <v>0</v>
      </c>
      <c r="H23" s="36">
        <f t="shared" si="1"/>
        <v>0</v>
      </c>
    </row>
    <row r="24" spans="1:8" x14ac:dyDescent="0.25">
      <c r="A24" s="20" t="s">
        <v>52</v>
      </c>
      <c r="B24" s="20" t="s">
        <v>58</v>
      </c>
      <c r="C24" s="20">
        <v>652</v>
      </c>
      <c r="D24" s="20">
        <v>0</v>
      </c>
      <c r="E24" s="20">
        <v>0</v>
      </c>
      <c r="F24" s="20">
        <f t="shared" si="0"/>
        <v>0</v>
      </c>
      <c r="G24" s="37">
        <v>0</v>
      </c>
      <c r="H24" s="37">
        <f t="shared" si="1"/>
        <v>0</v>
      </c>
    </row>
    <row r="25" spans="1:8" x14ac:dyDescent="0.25">
      <c r="A25" s="19" t="s">
        <v>52</v>
      </c>
      <c r="B25" s="19" t="s">
        <v>59</v>
      </c>
      <c r="C25" s="19">
        <v>219</v>
      </c>
      <c r="D25" s="19">
        <v>0</v>
      </c>
      <c r="E25" s="19">
        <v>0</v>
      </c>
      <c r="F25" s="19">
        <f t="shared" si="0"/>
        <v>0</v>
      </c>
      <c r="G25" s="36">
        <v>0</v>
      </c>
      <c r="H25" s="36">
        <f t="shared" si="1"/>
        <v>0</v>
      </c>
    </row>
    <row r="26" spans="1:8" x14ac:dyDescent="0.25">
      <c r="A26" s="20" t="s">
        <v>52</v>
      </c>
      <c r="B26" s="20" t="s">
        <v>64</v>
      </c>
      <c r="C26" s="20">
        <v>75</v>
      </c>
      <c r="D26" s="20">
        <v>0</v>
      </c>
      <c r="E26" s="20">
        <v>0</v>
      </c>
      <c r="F26" s="20">
        <f t="shared" si="0"/>
        <v>0</v>
      </c>
      <c r="G26" s="37"/>
      <c r="H26" s="37">
        <f t="shared" si="1"/>
        <v>0</v>
      </c>
    </row>
    <row r="27" spans="1:8" x14ac:dyDescent="0.25">
      <c r="A27" s="19" t="s">
        <v>52</v>
      </c>
      <c r="B27" s="19" t="s">
        <v>69</v>
      </c>
      <c r="C27" s="19">
        <v>122</v>
      </c>
      <c r="D27" s="19">
        <v>0</v>
      </c>
      <c r="E27" s="19">
        <v>0</v>
      </c>
      <c r="F27" s="19">
        <f t="shared" si="0"/>
        <v>0</v>
      </c>
      <c r="G27" s="36"/>
      <c r="H27" s="36">
        <f t="shared" si="1"/>
        <v>0</v>
      </c>
    </row>
    <row r="28" spans="1:8" x14ac:dyDescent="0.25">
      <c r="A28" s="20" t="s">
        <v>52</v>
      </c>
      <c r="B28" s="20" t="s">
        <v>70</v>
      </c>
      <c r="C28" s="20">
        <v>77</v>
      </c>
      <c r="D28" s="20">
        <v>0</v>
      </c>
      <c r="E28" s="20">
        <v>0</v>
      </c>
      <c r="F28" s="20">
        <f t="shared" si="0"/>
        <v>0</v>
      </c>
      <c r="G28" s="37"/>
      <c r="H28" s="37">
        <f t="shared" si="1"/>
        <v>0</v>
      </c>
    </row>
    <row r="29" spans="1:8" x14ac:dyDescent="0.25">
      <c r="A29" s="19" t="s">
        <v>52</v>
      </c>
      <c r="B29" s="19" t="s">
        <v>71</v>
      </c>
      <c r="C29" s="19">
        <v>84</v>
      </c>
      <c r="D29" s="19">
        <v>0</v>
      </c>
      <c r="E29" s="19">
        <v>0</v>
      </c>
      <c r="F29" s="19">
        <f t="shared" si="0"/>
        <v>0</v>
      </c>
      <c r="G29" s="36"/>
      <c r="H29" s="36">
        <f t="shared" si="1"/>
        <v>0</v>
      </c>
    </row>
    <row r="30" spans="1:8" x14ac:dyDescent="0.25">
      <c r="A30" s="20" t="s">
        <v>52</v>
      </c>
      <c r="B30" s="20" t="s">
        <v>72</v>
      </c>
      <c r="C30" s="20">
        <v>134</v>
      </c>
      <c r="D30" s="20">
        <v>0</v>
      </c>
      <c r="E30" s="20">
        <v>0</v>
      </c>
      <c r="F30" s="20">
        <f t="shared" si="0"/>
        <v>0</v>
      </c>
      <c r="G30" s="37"/>
      <c r="H30" s="37">
        <f t="shared" si="1"/>
        <v>0</v>
      </c>
    </row>
    <row r="31" spans="1:8" x14ac:dyDescent="0.25">
      <c r="A31" s="19" t="s">
        <v>52</v>
      </c>
      <c r="B31" s="19" t="s">
        <v>73</v>
      </c>
      <c r="C31" s="19">
        <v>35</v>
      </c>
      <c r="D31" s="19">
        <v>0</v>
      </c>
      <c r="E31" s="19">
        <v>0</v>
      </c>
      <c r="F31" s="19">
        <f t="shared" si="0"/>
        <v>0</v>
      </c>
      <c r="G31" s="36"/>
      <c r="H31" s="36">
        <f t="shared" si="1"/>
        <v>0</v>
      </c>
    </row>
    <row r="32" spans="1:8" x14ac:dyDescent="0.25">
      <c r="A32" s="19" t="s">
        <v>40</v>
      </c>
      <c r="B32" s="19" t="s">
        <v>41</v>
      </c>
      <c r="C32" s="19">
        <v>1410</v>
      </c>
      <c r="D32" s="19">
        <v>239</v>
      </c>
      <c r="E32" s="19">
        <v>238</v>
      </c>
      <c r="F32" s="19">
        <f t="shared" si="0"/>
        <v>-1</v>
      </c>
      <c r="G32" s="36">
        <f t="shared" ref="G32:G41" si="3">F32/D32</f>
        <v>-4.1841004184100415E-3</v>
      </c>
      <c r="H32" s="36">
        <f t="shared" si="1"/>
        <v>0.16879432624113475</v>
      </c>
    </row>
    <row r="33" spans="1:8" x14ac:dyDescent="0.25">
      <c r="A33" s="19" t="s">
        <v>44</v>
      </c>
      <c r="B33" s="19" t="s">
        <v>45</v>
      </c>
      <c r="C33" s="19">
        <v>1659</v>
      </c>
      <c r="D33" s="19">
        <v>196</v>
      </c>
      <c r="E33" s="19">
        <v>195</v>
      </c>
      <c r="F33" s="19">
        <f t="shared" si="0"/>
        <v>-1</v>
      </c>
      <c r="G33" s="36">
        <f t="shared" si="3"/>
        <v>-5.1020408163265302E-3</v>
      </c>
      <c r="H33" s="36">
        <f t="shared" si="1"/>
        <v>0.11754068716094032</v>
      </c>
    </row>
    <row r="34" spans="1:8" x14ac:dyDescent="0.25">
      <c r="A34" s="19" t="s">
        <v>48</v>
      </c>
      <c r="B34" s="19" t="s">
        <v>49</v>
      </c>
      <c r="C34" s="19">
        <v>796</v>
      </c>
      <c r="D34" s="19">
        <v>296</v>
      </c>
      <c r="E34" s="19">
        <v>294</v>
      </c>
      <c r="F34" s="19">
        <f t="shared" si="0"/>
        <v>-2</v>
      </c>
      <c r="G34" s="36">
        <f t="shared" si="3"/>
        <v>-6.7567567567567571E-3</v>
      </c>
      <c r="H34" s="36">
        <f t="shared" si="1"/>
        <v>0.3693467336683417</v>
      </c>
    </row>
    <row r="35" spans="1:8" x14ac:dyDescent="0.25">
      <c r="A35" s="20" t="s">
        <v>10</v>
      </c>
      <c r="B35" s="20" t="s">
        <v>11</v>
      </c>
      <c r="C35" s="20">
        <v>6371</v>
      </c>
      <c r="D35" s="20">
        <v>729</v>
      </c>
      <c r="E35" s="20">
        <v>726</v>
      </c>
      <c r="F35" s="20">
        <f t="shared" si="0"/>
        <v>-3</v>
      </c>
      <c r="G35" s="37">
        <f t="shared" si="3"/>
        <v>-4.11522633744856E-3</v>
      </c>
      <c r="H35" s="37">
        <f t="shared" si="1"/>
        <v>0.11395385339821064</v>
      </c>
    </row>
    <row r="36" spans="1:8" x14ac:dyDescent="0.25">
      <c r="A36" s="19" t="s">
        <v>12</v>
      </c>
      <c r="B36" s="19" t="s">
        <v>13</v>
      </c>
      <c r="C36" s="19">
        <v>4172</v>
      </c>
      <c r="D36" s="19">
        <v>701</v>
      </c>
      <c r="E36" s="19">
        <v>698</v>
      </c>
      <c r="F36" s="19">
        <f t="shared" si="0"/>
        <v>-3</v>
      </c>
      <c r="G36" s="36">
        <f t="shared" si="3"/>
        <v>-4.2796005706134095E-3</v>
      </c>
      <c r="H36" s="36">
        <f t="shared" si="1"/>
        <v>0.16730584851390221</v>
      </c>
    </row>
    <row r="37" spans="1:8" x14ac:dyDescent="0.25">
      <c r="A37" s="20" t="s">
        <v>26</v>
      </c>
      <c r="B37" s="20" t="s">
        <v>27</v>
      </c>
      <c r="C37" s="20">
        <v>1874</v>
      </c>
      <c r="D37" s="20">
        <v>357</v>
      </c>
      <c r="E37" s="20">
        <v>353</v>
      </c>
      <c r="F37" s="20">
        <f t="shared" si="0"/>
        <v>-4</v>
      </c>
      <c r="G37" s="37">
        <f t="shared" si="3"/>
        <v>-1.1204481792717087E-2</v>
      </c>
      <c r="H37" s="37">
        <f t="shared" si="1"/>
        <v>0.18836712913553896</v>
      </c>
    </row>
    <row r="38" spans="1:8" x14ac:dyDescent="0.25">
      <c r="A38" s="20" t="s">
        <v>22</v>
      </c>
      <c r="B38" s="20" t="s">
        <v>23</v>
      </c>
      <c r="C38" s="20">
        <v>1566</v>
      </c>
      <c r="D38" s="20">
        <v>352</v>
      </c>
      <c r="E38" s="20">
        <v>341</v>
      </c>
      <c r="F38" s="20">
        <f t="shared" si="0"/>
        <v>-11</v>
      </c>
      <c r="G38" s="37">
        <f t="shared" si="3"/>
        <v>-3.125E-2</v>
      </c>
      <c r="H38" s="37">
        <f t="shared" si="1"/>
        <v>0.21775223499361429</v>
      </c>
    </row>
    <row r="39" spans="1:8" x14ac:dyDescent="0.25">
      <c r="A39" s="19" t="s">
        <v>8</v>
      </c>
      <c r="B39" s="19" t="s">
        <v>9</v>
      </c>
      <c r="C39" s="19">
        <v>7119</v>
      </c>
      <c r="D39" s="19">
        <v>945</v>
      </c>
      <c r="E39" s="19">
        <v>905</v>
      </c>
      <c r="F39" s="19">
        <f t="shared" si="0"/>
        <v>-40</v>
      </c>
      <c r="G39" s="36">
        <f t="shared" si="3"/>
        <v>-4.2328042328042326E-2</v>
      </c>
      <c r="H39" s="36">
        <f t="shared" si="1"/>
        <v>0.12712459615114483</v>
      </c>
    </row>
    <row r="40" spans="1:8" x14ac:dyDescent="0.25">
      <c r="A40" s="19" t="s">
        <v>16</v>
      </c>
      <c r="B40" s="19" t="s">
        <v>17</v>
      </c>
      <c r="C40" s="19">
        <v>4005</v>
      </c>
      <c r="D40" s="19">
        <v>501</v>
      </c>
      <c r="E40" s="19">
        <v>431</v>
      </c>
      <c r="F40" s="19">
        <f t="shared" si="0"/>
        <v>-70</v>
      </c>
      <c r="G40" s="36">
        <f t="shared" si="3"/>
        <v>-0.13972055888223553</v>
      </c>
      <c r="H40" s="36">
        <f t="shared" si="1"/>
        <v>0.10761548064918851</v>
      </c>
    </row>
    <row r="41" spans="1:8" ht="15.75" x14ac:dyDescent="0.25">
      <c r="A41" s="22"/>
      <c r="B41" s="22" t="s">
        <v>74</v>
      </c>
      <c r="C41" s="27">
        <v>77712</v>
      </c>
      <c r="D41" s="27">
        <v>12888</v>
      </c>
      <c r="E41" s="27">
        <v>13169</v>
      </c>
      <c r="F41" s="27">
        <f>E41-D41</f>
        <v>281</v>
      </c>
      <c r="G41" s="45">
        <f t="shared" si="3"/>
        <v>2.1803227808814402E-2</v>
      </c>
      <c r="H41" s="45">
        <f t="shared" si="1"/>
        <v>0.16945902820671196</v>
      </c>
    </row>
    <row r="43" spans="1:8" x14ac:dyDescent="0.25">
      <c r="A43" s="7"/>
      <c r="B43" s="7"/>
      <c r="C43" s="7"/>
    </row>
    <row r="44" spans="1:8" x14ac:dyDescent="0.25">
      <c r="A44" s="7"/>
      <c r="B44" s="7"/>
      <c r="C44" s="7"/>
    </row>
    <row r="49" spans="1:8" x14ac:dyDescent="0.25">
      <c r="F49" s="8"/>
      <c r="G49" s="8"/>
      <c r="H49" s="8"/>
    </row>
    <row r="50" spans="1:8" x14ac:dyDescent="0.25">
      <c r="A50" s="7"/>
      <c r="B50" s="7"/>
      <c r="C50" s="8"/>
      <c r="D50" s="8"/>
      <c r="F50" s="8"/>
      <c r="G50" s="8"/>
      <c r="H50" s="8"/>
    </row>
    <row r="51" spans="1:8" x14ac:dyDescent="0.25">
      <c r="A51" s="7"/>
      <c r="B51" s="7"/>
      <c r="C51" s="8"/>
      <c r="D51" s="8"/>
    </row>
  </sheetData>
  <autoFilter ref="A2:H2" xr:uid="{5A6571EB-9662-4AD7-9CFE-3D3C0445DFDA}">
    <sortState xmlns:xlrd2="http://schemas.microsoft.com/office/spreadsheetml/2017/richdata2" ref="A3:H41">
      <sortCondition descending="1" ref="F2"/>
    </sortState>
  </autoFilter>
  <mergeCells count="1">
    <mergeCell ref="F1:G1"/>
  </mergeCells>
  <conditionalFormatting sqref="G3:G40">
    <cfRule type="cellIs" dxfId="48" priority="2" operator="lessThan">
      <formula>$G$41</formula>
    </cfRule>
  </conditionalFormatting>
  <conditionalFormatting sqref="H3:H39 H41">
    <cfRule type="cellIs" dxfId="47" priority="3" operator="lessThan">
      <formula>$H$40</formula>
    </cfRule>
  </conditionalFormatting>
  <conditionalFormatting sqref="H3:H40">
    <cfRule type="cellIs" dxfId="46" priority="1" operator="lessThan">
      <formula>$H$41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232F-0FF6-481C-83EC-D0E722F3B4D5}">
  <dimension ref="A1:L51"/>
  <sheetViews>
    <sheetView showGridLines="0" zoomScale="84" workbookViewId="0">
      <selection activeCell="D14" sqref="D14"/>
    </sheetView>
  </sheetViews>
  <sheetFormatPr defaultRowHeight="15" x14ac:dyDescent="0.25"/>
  <cols>
    <col min="1" max="2" width="19.28515625" style="7" customWidth="1"/>
    <col min="3" max="3" width="14.42578125" style="7" bestFit="1" customWidth="1"/>
    <col min="4" max="4" width="30.5703125" style="7" bestFit="1" customWidth="1"/>
    <col min="5" max="5" width="15.140625" style="7" customWidth="1"/>
    <col min="6" max="6" width="25.140625" bestFit="1" customWidth="1"/>
    <col min="7" max="7" width="9" bestFit="1" customWidth="1"/>
    <col min="8" max="8" width="50.7109375" bestFit="1" customWidth="1"/>
    <col min="9" max="9" width="20.28515625" bestFit="1" customWidth="1"/>
    <col min="10" max="10" width="16.140625" style="69" bestFit="1" customWidth="1"/>
    <col min="11" max="12" width="31.28515625" bestFit="1" customWidth="1"/>
    <col min="13" max="73" width="8.7109375" bestFit="1" customWidth="1"/>
  </cols>
  <sheetData>
    <row r="1" spans="1:12" ht="18.75" x14ac:dyDescent="0.3">
      <c r="A1" s="56"/>
      <c r="B1" s="56"/>
      <c r="C1" s="54"/>
      <c r="D1" s="96" t="s">
        <v>137</v>
      </c>
      <c r="E1" s="96"/>
      <c r="F1" s="97" t="s">
        <v>140</v>
      </c>
      <c r="G1" s="97"/>
      <c r="H1" s="97"/>
      <c r="I1" s="98" t="s">
        <v>145</v>
      </c>
      <c r="J1" s="98"/>
      <c r="K1" s="98"/>
      <c r="L1" s="98"/>
    </row>
    <row r="2" spans="1:12" ht="18.75" x14ac:dyDescent="0.3">
      <c r="A2" s="54" t="s">
        <v>0</v>
      </c>
      <c r="B2" s="54" t="s">
        <v>1</v>
      </c>
      <c r="C2" s="54" t="s">
        <v>4</v>
      </c>
      <c r="D2" s="54" t="s">
        <v>138</v>
      </c>
      <c r="E2" s="54" t="s">
        <v>5</v>
      </c>
      <c r="F2" s="82" t="s">
        <v>138</v>
      </c>
      <c r="G2" s="82" t="s">
        <v>5</v>
      </c>
      <c r="H2" s="82" t="s">
        <v>143</v>
      </c>
      <c r="I2" s="9" t="s">
        <v>97</v>
      </c>
      <c r="J2" s="63" t="s">
        <v>87</v>
      </c>
      <c r="K2" s="9" t="s">
        <v>142</v>
      </c>
      <c r="L2" s="9" t="s">
        <v>107</v>
      </c>
    </row>
    <row r="3" spans="1:12" x14ac:dyDescent="0.25">
      <c r="A3" s="20" t="s">
        <v>14</v>
      </c>
      <c r="B3" s="20" t="s">
        <v>15</v>
      </c>
      <c r="C3" s="20">
        <v>2711</v>
      </c>
      <c r="D3" s="20">
        <v>461</v>
      </c>
      <c r="E3" s="20">
        <v>485</v>
      </c>
      <c r="F3" s="20">
        <v>531</v>
      </c>
      <c r="G3" s="20">
        <v>612</v>
      </c>
      <c r="H3" s="76">
        <f t="shared" ref="H3:H41" si="0">F3/C3</f>
        <v>0.19586868314275174</v>
      </c>
      <c r="I3" s="20">
        <f t="shared" ref="I3:I30" si="1">F3-D3</f>
        <v>70</v>
      </c>
      <c r="J3" s="37">
        <f t="shared" ref="J3:J22" si="2">(F3-D3)/D3</f>
        <v>0.15184381778741865</v>
      </c>
      <c r="K3" s="35">
        <f t="shared" ref="K3:K22" si="3">E3/D3</f>
        <v>1.0520607375271149</v>
      </c>
      <c r="L3" s="35">
        <f t="shared" ref="L3:L22" si="4">G3/F3</f>
        <v>1.152542372881356</v>
      </c>
    </row>
    <row r="4" spans="1:12" x14ac:dyDescent="0.25">
      <c r="A4" s="19" t="s">
        <v>56</v>
      </c>
      <c r="B4" s="19" t="s">
        <v>57</v>
      </c>
      <c r="C4" s="19">
        <v>312</v>
      </c>
      <c r="D4" s="19">
        <v>245</v>
      </c>
      <c r="E4" s="19">
        <v>247</v>
      </c>
      <c r="F4" s="19">
        <v>308</v>
      </c>
      <c r="G4" s="19">
        <v>320</v>
      </c>
      <c r="H4" s="75">
        <f t="shared" si="0"/>
        <v>0.98717948717948723</v>
      </c>
      <c r="I4" s="19">
        <f t="shared" si="1"/>
        <v>63</v>
      </c>
      <c r="J4" s="36">
        <f t="shared" si="2"/>
        <v>0.25714285714285712</v>
      </c>
      <c r="K4" s="23">
        <f t="shared" si="3"/>
        <v>1.0081632653061225</v>
      </c>
      <c r="L4" s="23">
        <f t="shared" si="4"/>
        <v>1.0389610389610389</v>
      </c>
    </row>
    <row r="5" spans="1:12" x14ac:dyDescent="0.25">
      <c r="A5" s="20" t="s">
        <v>6</v>
      </c>
      <c r="B5" s="20" t="s">
        <v>7</v>
      </c>
      <c r="C5" s="20">
        <v>21396</v>
      </c>
      <c r="D5" s="20">
        <v>4168</v>
      </c>
      <c r="E5" s="20">
        <v>3910</v>
      </c>
      <c r="F5" s="20">
        <v>4216</v>
      </c>
      <c r="G5" s="20">
        <v>5268</v>
      </c>
      <c r="H5" s="76">
        <f t="shared" si="0"/>
        <v>0.197046176855487</v>
      </c>
      <c r="I5" s="20">
        <f t="shared" si="1"/>
        <v>48</v>
      </c>
      <c r="J5" s="37">
        <f t="shared" si="2"/>
        <v>1.1516314779270634E-2</v>
      </c>
      <c r="K5" s="35">
        <f t="shared" si="3"/>
        <v>0.93809980806142035</v>
      </c>
      <c r="L5" s="35">
        <f t="shared" si="4"/>
        <v>1.2495256166982922</v>
      </c>
    </row>
    <row r="6" spans="1:12" x14ac:dyDescent="0.25">
      <c r="A6" s="19" t="s">
        <v>50</v>
      </c>
      <c r="B6" s="19" t="s">
        <v>51</v>
      </c>
      <c r="C6" s="19">
        <v>940</v>
      </c>
      <c r="D6" s="19">
        <v>286</v>
      </c>
      <c r="E6" s="19">
        <v>289</v>
      </c>
      <c r="F6" s="19">
        <v>329</v>
      </c>
      <c r="G6" s="19">
        <v>356</v>
      </c>
      <c r="H6" s="75">
        <f t="shared" si="0"/>
        <v>0.35</v>
      </c>
      <c r="I6" s="19">
        <f t="shared" si="1"/>
        <v>43</v>
      </c>
      <c r="J6" s="36">
        <f t="shared" si="2"/>
        <v>0.15034965034965034</v>
      </c>
      <c r="K6" s="23">
        <f t="shared" si="3"/>
        <v>1.0104895104895104</v>
      </c>
      <c r="L6" s="23">
        <f t="shared" si="4"/>
        <v>1.0820668693009119</v>
      </c>
    </row>
    <row r="7" spans="1:12" x14ac:dyDescent="0.25">
      <c r="A7" s="20" t="s">
        <v>65</v>
      </c>
      <c r="B7" s="20" t="s">
        <v>66</v>
      </c>
      <c r="C7" s="20">
        <v>269</v>
      </c>
      <c r="D7" s="20">
        <v>43</v>
      </c>
      <c r="E7" s="20">
        <v>41</v>
      </c>
      <c r="F7" s="20">
        <v>79</v>
      </c>
      <c r="G7" s="20">
        <v>80</v>
      </c>
      <c r="H7" s="76">
        <f t="shared" si="0"/>
        <v>0.29368029739776952</v>
      </c>
      <c r="I7" s="20">
        <f t="shared" si="1"/>
        <v>36</v>
      </c>
      <c r="J7" s="37">
        <f t="shared" si="2"/>
        <v>0.83720930232558144</v>
      </c>
      <c r="K7" s="35">
        <f t="shared" si="3"/>
        <v>0.95348837209302328</v>
      </c>
      <c r="L7" s="35">
        <f t="shared" si="4"/>
        <v>1.0126582278481013</v>
      </c>
    </row>
    <row r="8" spans="1:12" x14ac:dyDescent="0.25">
      <c r="A8" s="19" t="s">
        <v>18</v>
      </c>
      <c r="B8" s="19" t="s">
        <v>19</v>
      </c>
      <c r="C8" s="19">
        <v>2529</v>
      </c>
      <c r="D8" s="19">
        <v>400</v>
      </c>
      <c r="E8" s="19">
        <v>389</v>
      </c>
      <c r="F8" s="19">
        <v>427</v>
      </c>
      <c r="G8" s="19">
        <v>486</v>
      </c>
      <c r="H8" s="75">
        <f t="shared" si="0"/>
        <v>0.16884143930407275</v>
      </c>
      <c r="I8" s="19">
        <f t="shared" si="1"/>
        <v>27</v>
      </c>
      <c r="J8" s="36">
        <f t="shared" si="2"/>
        <v>6.7500000000000004E-2</v>
      </c>
      <c r="K8" s="23">
        <f t="shared" si="3"/>
        <v>0.97250000000000003</v>
      </c>
      <c r="L8" s="23">
        <f t="shared" si="4"/>
        <v>1.1381733021077283</v>
      </c>
    </row>
    <row r="9" spans="1:12" x14ac:dyDescent="0.25">
      <c r="A9" s="20" t="s">
        <v>54</v>
      </c>
      <c r="B9" s="20" t="s">
        <v>55</v>
      </c>
      <c r="C9" s="20">
        <v>949</v>
      </c>
      <c r="D9" s="20">
        <v>113</v>
      </c>
      <c r="E9" s="20">
        <v>120</v>
      </c>
      <c r="F9" s="20">
        <v>136</v>
      </c>
      <c r="G9" s="20">
        <v>146</v>
      </c>
      <c r="H9" s="76">
        <f t="shared" si="0"/>
        <v>0.14330874604847207</v>
      </c>
      <c r="I9" s="20">
        <f t="shared" si="1"/>
        <v>23</v>
      </c>
      <c r="J9" s="37">
        <f t="shared" si="2"/>
        <v>0.20353982300884957</v>
      </c>
      <c r="K9" s="35">
        <f t="shared" si="3"/>
        <v>1.0619469026548674</v>
      </c>
      <c r="L9" s="35">
        <f t="shared" si="4"/>
        <v>1.0735294117647058</v>
      </c>
    </row>
    <row r="10" spans="1:12" x14ac:dyDescent="0.25">
      <c r="A10" s="19" t="s">
        <v>28</v>
      </c>
      <c r="B10" s="19" t="s">
        <v>29</v>
      </c>
      <c r="C10" s="19">
        <v>4317</v>
      </c>
      <c r="D10" s="19">
        <v>439</v>
      </c>
      <c r="E10" s="19">
        <v>413</v>
      </c>
      <c r="F10" s="19">
        <v>459</v>
      </c>
      <c r="G10" s="19">
        <v>533</v>
      </c>
      <c r="H10" s="75">
        <f t="shared" si="0"/>
        <v>0.1063238359972203</v>
      </c>
      <c r="I10" s="19">
        <f t="shared" si="1"/>
        <v>20</v>
      </c>
      <c r="J10" s="36">
        <f t="shared" si="2"/>
        <v>4.5558086560364468E-2</v>
      </c>
      <c r="K10" s="23">
        <f t="shared" si="3"/>
        <v>0.94077448747152614</v>
      </c>
      <c r="L10" s="23">
        <f t="shared" si="4"/>
        <v>1.1612200435729847</v>
      </c>
    </row>
    <row r="11" spans="1:12" x14ac:dyDescent="0.25">
      <c r="A11" s="20" t="s">
        <v>67</v>
      </c>
      <c r="B11" s="20" t="s">
        <v>68</v>
      </c>
      <c r="C11" s="20">
        <v>93</v>
      </c>
      <c r="D11" s="20">
        <v>6</v>
      </c>
      <c r="E11" s="20">
        <v>5</v>
      </c>
      <c r="F11" s="20">
        <v>26</v>
      </c>
      <c r="G11" s="20">
        <v>27</v>
      </c>
      <c r="H11" s="76">
        <f t="shared" si="0"/>
        <v>0.27956989247311825</v>
      </c>
      <c r="I11" s="20">
        <f t="shared" si="1"/>
        <v>20</v>
      </c>
      <c r="J11" s="37">
        <f t="shared" si="2"/>
        <v>3.3333333333333335</v>
      </c>
      <c r="K11" s="35">
        <f t="shared" si="3"/>
        <v>0.83333333333333337</v>
      </c>
      <c r="L11" s="35">
        <f t="shared" si="4"/>
        <v>1.0384615384615385</v>
      </c>
    </row>
    <row r="12" spans="1:12" x14ac:dyDescent="0.25">
      <c r="A12" s="19" t="s">
        <v>60</v>
      </c>
      <c r="B12" s="19" t="s">
        <v>61</v>
      </c>
      <c r="C12" s="19">
        <v>282</v>
      </c>
      <c r="D12" s="19">
        <v>174</v>
      </c>
      <c r="E12" s="19">
        <v>168</v>
      </c>
      <c r="F12" s="19">
        <v>191</v>
      </c>
      <c r="G12" s="19">
        <v>206</v>
      </c>
      <c r="H12" s="75">
        <f t="shared" si="0"/>
        <v>0.67730496453900713</v>
      </c>
      <c r="I12" s="19">
        <f t="shared" si="1"/>
        <v>17</v>
      </c>
      <c r="J12" s="36">
        <f t="shared" si="2"/>
        <v>9.7701149425287362E-2</v>
      </c>
      <c r="K12" s="23">
        <f t="shared" si="3"/>
        <v>0.96551724137931039</v>
      </c>
      <c r="L12" s="23">
        <f t="shared" si="4"/>
        <v>1.0785340314136125</v>
      </c>
    </row>
    <row r="13" spans="1:12" x14ac:dyDescent="0.25">
      <c r="A13" s="20" t="s">
        <v>32</v>
      </c>
      <c r="B13" s="20" t="s">
        <v>33</v>
      </c>
      <c r="C13" s="20">
        <v>2085</v>
      </c>
      <c r="D13" s="20">
        <v>333</v>
      </c>
      <c r="E13" s="20">
        <v>321</v>
      </c>
      <c r="F13" s="20">
        <v>346</v>
      </c>
      <c r="G13" s="20">
        <v>394</v>
      </c>
      <c r="H13" s="76">
        <f t="shared" si="0"/>
        <v>0.16594724220623502</v>
      </c>
      <c r="I13" s="20">
        <f t="shared" si="1"/>
        <v>13</v>
      </c>
      <c r="J13" s="37">
        <f t="shared" si="2"/>
        <v>3.903903903903904E-2</v>
      </c>
      <c r="K13" s="35">
        <f t="shared" si="3"/>
        <v>0.963963963963964</v>
      </c>
      <c r="L13" s="35">
        <f t="shared" si="4"/>
        <v>1.1387283236994219</v>
      </c>
    </row>
    <row r="14" spans="1:12" x14ac:dyDescent="0.25">
      <c r="A14" s="19" t="s">
        <v>36</v>
      </c>
      <c r="B14" s="19" t="s">
        <v>37</v>
      </c>
      <c r="C14" s="19">
        <v>1213</v>
      </c>
      <c r="D14" s="19">
        <v>259</v>
      </c>
      <c r="E14" s="19">
        <v>252</v>
      </c>
      <c r="F14" s="19">
        <v>269</v>
      </c>
      <c r="G14" s="19">
        <v>301</v>
      </c>
      <c r="H14" s="75">
        <f t="shared" si="0"/>
        <v>0.22176422093981862</v>
      </c>
      <c r="I14" s="19">
        <f t="shared" si="1"/>
        <v>10</v>
      </c>
      <c r="J14" s="36">
        <f t="shared" si="2"/>
        <v>3.8610038610038609E-2</v>
      </c>
      <c r="K14" s="23">
        <f t="shared" si="3"/>
        <v>0.97297297297297303</v>
      </c>
      <c r="L14" s="23">
        <f t="shared" si="4"/>
        <v>1.1189591078066914</v>
      </c>
    </row>
    <row r="15" spans="1:12" x14ac:dyDescent="0.25">
      <c r="A15" s="20" t="s">
        <v>34</v>
      </c>
      <c r="B15" s="20" t="s">
        <v>35</v>
      </c>
      <c r="C15" s="20">
        <v>1167</v>
      </c>
      <c r="D15" s="20">
        <v>249</v>
      </c>
      <c r="E15" s="20">
        <v>236</v>
      </c>
      <c r="F15" s="20">
        <v>257</v>
      </c>
      <c r="G15" s="20">
        <v>281</v>
      </c>
      <c r="H15" s="76">
        <f t="shared" si="0"/>
        <v>0.22022279348757498</v>
      </c>
      <c r="I15" s="20">
        <f t="shared" si="1"/>
        <v>8</v>
      </c>
      <c r="J15" s="37">
        <f t="shared" si="2"/>
        <v>3.2128514056224897E-2</v>
      </c>
      <c r="K15" s="35">
        <f t="shared" si="3"/>
        <v>0.94779116465863456</v>
      </c>
      <c r="L15" s="35">
        <f t="shared" si="4"/>
        <v>1.093385214007782</v>
      </c>
    </row>
    <row r="16" spans="1:12" x14ac:dyDescent="0.25">
      <c r="A16" s="19" t="s">
        <v>62</v>
      </c>
      <c r="B16" s="19" t="s">
        <v>63</v>
      </c>
      <c r="C16" s="19">
        <v>266</v>
      </c>
      <c r="D16" s="19">
        <v>92</v>
      </c>
      <c r="E16" s="19">
        <v>92</v>
      </c>
      <c r="F16" s="19">
        <v>99</v>
      </c>
      <c r="G16" s="19">
        <v>99</v>
      </c>
      <c r="H16" s="75">
        <f t="shared" si="0"/>
        <v>0.37218045112781956</v>
      </c>
      <c r="I16" s="19">
        <f t="shared" si="1"/>
        <v>7</v>
      </c>
      <c r="J16" s="36">
        <f t="shared" si="2"/>
        <v>7.6086956521739135E-2</v>
      </c>
      <c r="K16" s="23">
        <f t="shared" si="3"/>
        <v>1</v>
      </c>
      <c r="L16" s="23">
        <f t="shared" si="4"/>
        <v>1</v>
      </c>
    </row>
    <row r="17" spans="1:12" x14ac:dyDescent="0.25">
      <c r="A17" s="20" t="s">
        <v>38</v>
      </c>
      <c r="B17" s="20" t="s">
        <v>39</v>
      </c>
      <c r="C17" s="20">
        <v>1087</v>
      </c>
      <c r="D17" s="20">
        <v>249</v>
      </c>
      <c r="E17" s="20">
        <v>239</v>
      </c>
      <c r="F17" s="20">
        <v>254</v>
      </c>
      <c r="G17" s="20">
        <v>273</v>
      </c>
      <c r="H17" s="76">
        <f t="shared" si="0"/>
        <v>0.23367065317387303</v>
      </c>
      <c r="I17" s="20">
        <f t="shared" si="1"/>
        <v>5</v>
      </c>
      <c r="J17" s="37">
        <f t="shared" si="2"/>
        <v>2.0080321285140562E-2</v>
      </c>
      <c r="K17" s="35">
        <f t="shared" si="3"/>
        <v>0.95983935742971882</v>
      </c>
      <c r="L17" s="35">
        <f t="shared" si="4"/>
        <v>1.0748031496062993</v>
      </c>
    </row>
    <row r="18" spans="1:12" x14ac:dyDescent="0.25">
      <c r="A18" s="19" t="s">
        <v>30</v>
      </c>
      <c r="B18" s="19" t="s">
        <v>31</v>
      </c>
      <c r="C18" s="19">
        <v>944</v>
      </c>
      <c r="D18" s="19">
        <v>98</v>
      </c>
      <c r="E18" s="19">
        <v>101</v>
      </c>
      <c r="F18" s="19">
        <v>101</v>
      </c>
      <c r="G18" s="19">
        <v>106</v>
      </c>
      <c r="H18" s="75">
        <f t="shared" si="0"/>
        <v>0.10699152542372882</v>
      </c>
      <c r="I18" s="19">
        <f t="shared" si="1"/>
        <v>3</v>
      </c>
      <c r="J18" s="36">
        <f t="shared" si="2"/>
        <v>3.0612244897959183E-2</v>
      </c>
      <c r="K18" s="23">
        <f t="shared" si="3"/>
        <v>1.0306122448979591</v>
      </c>
      <c r="L18" s="23">
        <f t="shared" si="4"/>
        <v>1.0495049504950495</v>
      </c>
    </row>
    <row r="19" spans="1:12" x14ac:dyDescent="0.25">
      <c r="A19" s="20" t="s">
        <v>24</v>
      </c>
      <c r="B19" s="20" t="s">
        <v>25</v>
      </c>
      <c r="C19" s="20">
        <v>2381</v>
      </c>
      <c r="D19" s="20">
        <v>347</v>
      </c>
      <c r="E19" s="20">
        <v>321</v>
      </c>
      <c r="F19" s="20">
        <v>349</v>
      </c>
      <c r="G19" s="20">
        <v>406</v>
      </c>
      <c r="H19" s="76">
        <f t="shared" si="0"/>
        <v>0.14657706845863083</v>
      </c>
      <c r="I19" s="20">
        <f t="shared" si="1"/>
        <v>2</v>
      </c>
      <c r="J19" s="37">
        <f t="shared" si="2"/>
        <v>5.763688760806916E-3</v>
      </c>
      <c r="K19" s="35">
        <f t="shared" si="3"/>
        <v>0.9250720461095101</v>
      </c>
      <c r="L19" s="35">
        <f t="shared" si="4"/>
        <v>1.1633237822349569</v>
      </c>
    </row>
    <row r="20" spans="1:12" x14ac:dyDescent="0.25">
      <c r="A20" s="19" t="s">
        <v>46</v>
      </c>
      <c r="B20" s="19" t="s">
        <v>47</v>
      </c>
      <c r="C20" s="19">
        <v>683</v>
      </c>
      <c r="D20" s="19">
        <v>123</v>
      </c>
      <c r="E20" s="19">
        <v>114</v>
      </c>
      <c r="F20" s="19">
        <v>124</v>
      </c>
      <c r="G20" s="19">
        <v>138</v>
      </c>
      <c r="H20" s="75">
        <f t="shared" si="0"/>
        <v>0.18155197657393851</v>
      </c>
      <c r="I20" s="19">
        <f t="shared" si="1"/>
        <v>1</v>
      </c>
      <c r="J20" s="36">
        <f t="shared" si="2"/>
        <v>8.130081300813009E-3</v>
      </c>
      <c r="K20" s="23">
        <f t="shared" si="3"/>
        <v>0.92682926829268297</v>
      </c>
      <c r="L20" s="23">
        <f t="shared" si="4"/>
        <v>1.1129032258064515</v>
      </c>
    </row>
    <row r="21" spans="1:12" x14ac:dyDescent="0.25">
      <c r="A21" s="20" t="s">
        <v>20</v>
      </c>
      <c r="B21" s="20" t="s">
        <v>21</v>
      </c>
      <c r="C21" s="20">
        <v>1868</v>
      </c>
      <c r="D21" s="20">
        <v>211</v>
      </c>
      <c r="E21" s="20">
        <v>194</v>
      </c>
      <c r="F21" s="20">
        <v>211</v>
      </c>
      <c r="G21" s="20">
        <v>238</v>
      </c>
      <c r="H21" s="76">
        <f t="shared" si="0"/>
        <v>0.11295503211991435</v>
      </c>
      <c r="I21" s="20">
        <f t="shared" si="1"/>
        <v>0</v>
      </c>
      <c r="J21" s="37">
        <f t="shared" si="2"/>
        <v>0</v>
      </c>
      <c r="K21" s="35">
        <f t="shared" si="3"/>
        <v>0.91943127962085303</v>
      </c>
      <c r="L21" s="35">
        <f t="shared" si="4"/>
        <v>1.127962085308057</v>
      </c>
    </row>
    <row r="22" spans="1:12" x14ac:dyDescent="0.25">
      <c r="A22" s="19" t="s">
        <v>42</v>
      </c>
      <c r="B22" s="19" t="s">
        <v>43</v>
      </c>
      <c r="C22" s="19">
        <v>1048</v>
      </c>
      <c r="D22" s="19">
        <v>276</v>
      </c>
      <c r="E22" s="19">
        <v>259</v>
      </c>
      <c r="F22" s="19">
        <v>276</v>
      </c>
      <c r="G22" s="19">
        <v>351</v>
      </c>
      <c r="H22" s="75">
        <f t="shared" si="0"/>
        <v>0.26335877862595419</v>
      </c>
      <c r="I22" s="19">
        <f t="shared" si="1"/>
        <v>0</v>
      </c>
      <c r="J22" s="36">
        <f t="shared" si="2"/>
        <v>0</v>
      </c>
      <c r="K22" s="23">
        <f t="shared" si="3"/>
        <v>0.93840579710144922</v>
      </c>
      <c r="L22" s="23">
        <f t="shared" si="4"/>
        <v>1.2717391304347827</v>
      </c>
    </row>
    <row r="23" spans="1:12" x14ac:dyDescent="0.25">
      <c r="A23" s="20" t="s">
        <v>52</v>
      </c>
      <c r="B23" s="20" t="s">
        <v>53</v>
      </c>
      <c r="C23" s="20">
        <v>802</v>
      </c>
      <c r="D23" s="20">
        <v>0</v>
      </c>
      <c r="E23" s="20">
        <v>0</v>
      </c>
      <c r="F23" s="20">
        <v>0</v>
      </c>
      <c r="G23" s="20">
        <v>0</v>
      </c>
      <c r="H23" s="76">
        <f t="shared" si="0"/>
        <v>0</v>
      </c>
      <c r="I23" s="20">
        <f t="shared" si="1"/>
        <v>0</v>
      </c>
      <c r="J23" s="37">
        <v>0</v>
      </c>
      <c r="K23" s="35">
        <v>0</v>
      </c>
      <c r="L23" s="35">
        <v>0</v>
      </c>
    </row>
    <row r="24" spans="1:12" x14ac:dyDescent="0.25">
      <c r="A24" s="19" t="s">
        <v>52</v>
      </c>
      <c r="B24" s="19" t="s">
        <v>58</v>
      </c>
      <c r="C24" s="19">
        <v>652</v>
      </c>
      <c r="D24" s="19">
        <v>0</v>
      </c>
      <c r="E24" s="19">
        <v>0</v>
      </c>
      <c r="F24" s="19">
        <v>0</v>
      </c>
      <c r="G24" s="19">
        <v>0</v>
      </c>
      <c r="H24" s="75">
        <f t="shared" si="0"/>
        <v>0</v>
      </c>
      <c r="I24" s="19">
        <f t="shared" si="1"/>
        <v>0</v>
      </c>
      <c r="J24" s="36">
        <v>0</v>
      </c>
      <c r="K24" s="23">
        <v>0</v>
      </c>
      <c r="L24" s="23">
        <v>0</v>
      </c>
    </row>
    <row r="25" spans="1:12" x14ac:dyDescent="0.25">
      <c r="A25" s="20" t="s">
        <v>52</v>
      </c>
      <c r="B25" s="20" t="s">
        <v>59</v>
      </c>
      <c r="C25" s="20">
        <v>219</v>
      </c>
      <c r="D25" s="20">
        <v>0</v>
      </c>
      <c r="E25" s="20">
        <v>0</v>
      </c>
      <c r="F25" s="20">
        <v>0</v>
      </c>
      <c r="G25" s="20">
        <v>0</v>
      </c>
      <c r="H25" s="76">
        <f t="shared" si="0"/>
        <v>0</v>
      </c>
      <c r="I25" s="20">
        <f t="shared" si="1"/>
        <v>0</v>
      </c>
      <c r="J25" s="37">
        <v>0</v>
      </c>
      <c r="K25" s="35">
        <v>0</v>
      </c>
      <c r="L25" s="35">
        <v>0</v>
      </c>
    </row>
    <row r="26" spans="1:12" x14ac:dyDescent="0.25">
      <c r="A26" s="19" t="s">
        <v>52</v>
      </c>
      <c r="B26" s="19" t="s">
        <v>64</v>
      </c>
      <c r="C26" s="19">
        <v>75</v>
      </c>
      <c r="D26" s="19">
        <v>0</v>
      </c>
      <c r="E26" s="19">
        <v>0</v>
      </c>
      <c r="F26" s="19">
        <v>0</v>
      </c>
      <c r="G26" s="19">
        <v>0</v>
      </c>
      <c r="H26" s="75">
        <f t="shared" si="0"/>
        <v>0</v>
      </c>
      <c r="I26" s="19">
        <f t="shared" si="1"/>
        <v>0</v>
      </c>
      <c r="J26" s="36">
        <v>0</v>
      </c>
      <c r="K26" s="23">
        <v>0</v>
      </c>
      <c r="L26" s="23">
        <v>0</v>
      </c>
    </row>
    <row r="27" spans="1:12" x14ac:dyDescent="0.25">
      <c r="A27" s="20" t="s">
        <v>52</v>
      </c>
      <c r="B27" s="20" t="s">
        <v>69</v>
      </c>
      <c r="C27" s="20">
        <v>122</v>
      </c>
      <c r="D27" s="20">
        <v>0</v>
      </c>
      <c r="E27" s="20">
        <v>0</v>
      </c>
      <c r="F27" s="20">
        <v>0</v>
      </c>
      <c r="G27" s="20">
        <v>0</v>
      </c>
      <c r="H27" s="76">
        <f t="shared" si="0"/>
        <v>0</v>
      </c>
      <c r="I27" s="20">
        <f t="shared" si="1"/>
        <v>0</v>
      </c>
      <c r="J27" s="37">
        <v>0</v>
      </c>
      <c r="K27" s="35">
        <v>0</v>
      </c>
      <c r="L27" s="35">
        <v>0</v>
      </c>
    </row>
    <row r="28" spans="1:12" x14ac:dyDescent="0.25">
      <c r="A28" s="19" t="s">
        <v>52</v>
      </c>
      <c r="B28" s="19" t="s">
        <v>70</v>
      </c>
      <c r="C28" s="19">
        <v>77</v>
      </c>
      <c r="D28" s="19">
        <v>0</v>
      </c>
      <c r="E28" s="19">
        <v>0</v>
      </c>
      <c r="F28" s="19">
        <v>0</v>
      </c>
      <c r="G28" s="19">
        <v>0</v>
      </c>
      <c r="H28" s="75">
        <f t="shared" si="0"/>
        <v>0</v>
      </c>
      <c r="I28" s="19">
        <f t="shared" si="1"/>
        <v>0</v>
      </c>
      <c r="J28" s="36">
        <v>0</v>
      </c>
      <c r="K28" s="23">
        <v>0</v>
      </c>
      <c r="L28" s="23">
        <v>0</v>
      </c>
    </row>
    <row r="29" spans="1:12" x14ac:dyDescent="0.25">
      <c r="A29" s="20" t="s">
        <v>52</v>
      </c>
      <c r="B29" s="20" t="s">
        <v>71</v>
      </c>
      <c r="C29" s="20">
        <v>84</v>
      </c>
      <c r="D29" s="20">
        <v>0</v>
      </c>
      <c r="E29" s="20">
        <v>0</v>
      </c>
      <c r="F29" s="20">
        <v>0</v>
      </c>
      <c r="G29" s="20">
        <v>0</v>
      </c>
      <c r="H29" s="76">
        <f t="shared" si="0"/>
        <v>0</v>
      </c>
      <c r="I29" s="20">
        <f t="shared" si="1"/>
        <v>0</v>
      </c>
      <c r="J29" s="37">
        <v>0</v>
      </c>
      <c r="K29" s="35">
        <v>0</v>
      </c>
      <c r="L29" s="35">
        <v>0</v>
      </c>
    </row>
    <row r="30" spans="1:12" x14ac:dyDescent="0.25">
      <c r="A30" s="19" t="s">
        <v>52</v>
      </c>
      <c r="B30" s="19" t="s">
        <v>72</v>
      </c>
      <c r="C30" s="19">
        <v>134</v>
      </c>
      <c r="D30" s="19">
        <v>0</v>
      </c>
      <c r="E30" s="19">
        <v>0</v>
      </c>
      <c r="F30" s="19">
        <v>0</v>
      </c>
      <c r="G30" s="19">
        <v>0</v>
      </c>
      <c r="H30" s="75">
        <f t="shared" si="0"/>
        <v>0</v>
      </c>
      <c r="I30" s="19">
        <f t="shared" si="1"/>
        <v>0</v>
      </c>
      <c r="J30" s="36">
        <v>0</v>
      </c>
      <c r="K30" s="23">
        <v>0</v>
      </c>
      <c r="L30" s="23">
        <v>0</v>
      </c>
    </row>
    <row r="31" spans="1:12" x14ac:dyDescent="0.25">
      <c r="A31" s="20" t="s">
        <v>52</v>
      </c>
      <c r="B31" s="20" t="s">
        <v>73</v>
      </c>
      <c r="C31" s="20">
        <v>35</v>
      </c>
      <c r="D31" s="20">
        <v>0</v>
      </c>
      <c r="E31" s="20">
        <v>0</v>
      </c>
      <c r="F31" s="20">
        <v>0</v>
      </c>
      <c r="G31" s="20">
        <v>0</v>
      </c>
      <c r="H31" s="76">
        <f t="shared" si="0"/>
        <v>0</v>
      </c>
      <c r="I31" s="20">
        <f>E31-D31</f>
        <v>0</v>
      </c>
      <c r="J31" s="37">
        <v>0</v>
      </c>
      <c r="K31" s="35">
        <v>0</v>
      </c>
      <c r="L31" s="35">
        <v>0</v>
      </c>
    </row>
    <row r="32" spans="1:12" x14ac:dyDescent="0.25">
      <c r="A32" s="19" t="s">
        <v>40</v>
      </c>
      <c r="B32" s="19" t="s">
        <v>41</v>
      </c>
      <c r="C32" s="19">
        <v>1410</v>
      </c>
      <c r="D32" s="19">
        <v>239</v>
      </c>
      <c r="E32" s="19">
        <v>228</v>
      </c>
      <c r="F32" s="19">
        <v>238</v>
      </c>
      <c r="G32" s="19">
        <v>290</v>
      </c>
      <c r="H32" s="75">
        <f t="shared" si="0"/>
        <v>0.16879432624113475</v>
      </c>
      <c r="I32" s="19">
        <f t="shared" ref="I32:I41" si="5">F32-D32</f>
        <v>-1</v>
      </c>
      <c r="J32" s="36">
        <f t="shared" ref="J32:J41" si="6">(F32-D32)/D32</f>
        <v>-4.1841004184100415E-3</v>
      </c>
      <c r="K32" s="23">
        <f t="shared" ref="K32:K41" si="7">E32/D32</f>
        <v>0.95397489539748959</v>
      </c>
      <c r="L32" s="23">
        <f t="shared" ref="L32:L41" si="8">G32/F32</f>
        <v>1.2184873949579831</v>
      </c>
    </row>
    <row r="33" spans="1:12" x14ac:dyDescent="0.25">
      <c r="A33" s="20" t="s">
        <v>44</v>
      </c>
      <c r="B33" s="20" t="s">
        <v>45</v>
      </c>
      <c r="C33" s="20">
        <v>1659</v>
      </c>
      <c r="D33" s="20">
        <v>196</v>
      </c>
      <c r="E33" s="20">
        <v>219</v>
      </c>
      <c r="F33" s="20">
        <v>195</v>
      </c>
      <c r="G33" s="20">
        <v>225</v>
      </c>
      <c r="H33" s="76">
        <f t="shared" si="0"/>
        <v>0.11754068716094032</v>
      </c>
      <c r="I33" s="20">
        <f t="shared" si="5"/>
        <v>-1</v>
      </c>
      <c r="J33" s="37">
        <f t="shared" si="6"/>
        <v>-5.1020408163265302E-3</v>
      </c>
      <c r="K33" s="35">
        <f t="shared" si="7"/>
        <v>1.1173469387755102</v>
      </c>
      <c r="L33" s="35">
        <f t="shared" si="8"/>
        <v>1.1538461538461537</v>
      </c>
    </row>
    <row r="34" spans="1:12" x14ac:dyDescent="0.25">
      <c r="A34" s="19" t="s">
        <v>48</v>
      </c>
      <c r="B34" s="19" t="s">
        <v>49</v>
      </c>
      <c r="C34" s="19">
        <v>796</v>
      </c>
      <c r="D34" s="19">
        <v>296</v>
      </c>
      <c r="E34" s="19">
        <v>299</v>
      </c>
      <c r="F34" s="19">
        <v>294</v>
      </c>
      <c r="G34" s="19">
        <v>356</v>
      </c>
      <c r="H34" s="75">
        <f t="shared" si="0"/>
        <v>0.3693467336683417</v>
      </c>
      <c r="I34" s="19">
        <f t="shared" si="5"/>
        <v>-2</v>
      </c>
      <c r="J34" s="36">
        <f t="shared" si="6"/>
        <v>-6.7567567567567571E-3</v>
      </c>
      <c r="K34" s="23">
        <f t="shared" si="7"/>
        <v>1.0101351351351351</v>
      </c>
      <c r="L34" s="23">
        <f t="shared" si="8"/>
        <v>1.2108843537414966</v>
      </c>
    </row>
    <row r="35" spans="1:12" x14ac:dyDescent="0.25">
      <c r="A35" s="20" t="s">
        <v>10</v>
      </c>
      <c r="B35" s="20" t="s">
        <v>11</v>
      </c>
      <c r="C35" s="20">
        <v>6371</v>
      </c>
      <c r="D35" s="20">
        <v>729</v>
      </c>
      <c r="E35" s="20">
        <v>693</v>
      </c>
      <c r="F35" s="20">
        <v>726</v>
      </c>
      <c r="G35" s="20">
        <v>851</v>
      </c>
      <c r="H35" s="76">
        <f t="shared" si="0"/>
        <v>0.11395385339821064</v>
      </c>
      <c r="I35" s="20">
        <f t="shared" si="5"/>
        <v>-3</v>
      </c>
      <c r="J35" s="37">
        <f t="shared" si="6"/>
        <v>-4.11522633744856E-3</v>
      </c>
      <c r="K35" s="35">
        <f t="shared" si="7"/>
        <v>0.95061728395061729</v>
      </c>
      <c r="L35" s="35">
        <f t="shared" si="8"/>
        <v>1.1721763085399448</v>
      </c>
    </row>
    <row r="36" spans="1:12" x14ac:dyDescent="0.25">
      <c r="A36" s="19" t="s">
        <v>12</v>
      </c>
      <c r="B36" s="19" t="s">
        <v>13</v>
      </c>
      <c r="C36" s="19">
        <v>4172</v>
      </c>
      <c r="D36" s="19">
        <v>701</v>
      </c>
      <c r="E36" s="19">
        <v>666</v>
      </c>
      <c r="F36" s="19">
        <v>698</v>
      </c>
      <c r="G36" s="19">
        <v>849</v>
      </c>
      <c r="H36" s="75">
        <f t="shared" si="0"/>
        <v>0.16730584851390221</v>
      </c>
      <c r="I36" s="19">
        <f t="shared" si="5"/>
        <v>-3</v>
      </c>
      <c r="J36" s="36">
        <f t="shared" si="6"/>
        <v>-4.2796005706134095E-3</v>
      </c>
      <c r="K36" s="23">
        <f t="shared" si="7"/>
        <v>0.95007132667617689</v>
      </c>
      <c r="L36" s="23">
        <f t="shared" si="8"/>
        <v>1.2163323782234956</v>
      </c>
    </row>
    <row r="37" spans="1:12" x14ac:dyDescent="0.25">
      <c r="A37" s="20" t="s">
        <v>26</v>
      </c>
      <c r="B37" s="20" t="s">
        <v>27</v>
      </c>
      <c r="C37" s="20">
        <v>1874</v>
      </c>
      <c r="D37" s="20">
        <v>357</v>
      </c>
      <c r="E37" s="20">
        <v>335</v>
      </c>
      <c r="F37" s="20">
        <v>353</v>
      </c>
      <c r="G37" s="20">
        <v>443</v>
      </c>
      <c r="H37" s="76">
        <f t="shared" si="0"/>
        <v>0.18836712913553896</v>
      </c>
      <c r="I37" s="20">
        <f t="shared" si="5"/>
        <v>-4</v>
      </c>
      <c r="J37" s="37">
        <f t="shared" si="6"/>
        <v>-1.1204481792717087E-2</v>
      </c>
      <c r="K37" s="35">
        <f t="shared" si="7"/>
        <v>0.93837535014005602</v>
      </c>
      <c r="L37" s="35">
        <f t="shared" si="8"/>
        <v>1.254957507082153</v>
      </c>
    </row>
    <row r="38" spans="1:12" x14ac:dyDescent="0.25">
      <c r="A38" s="19" t="s">
        <v>22</v>
      </c>
      <c r="B38" s="19" t="s">
        <v>23</v>
      </c>
      <c r="C38" s="19">
        <v>1566</v>
      </c>
      <c r="D38" s="19">
        <v>352</v>
      </c>
      <c r="E38" s="19">
        <v>325</v>
      </c>
      <c r="F38" s="19">
        <v>341</v>
      </c>
      <c r="G38" s="19">
        <v>363</v>
      </c>
      <c r="H38" s="75">
        <f t="shared" si="0"/>
        <v>0.21775223499361429</v>
      </c>
      <c r="I38" s="19">
        <f t="shared" si="5"/>
        <v>-11</v>
      </c>
      <c r="J38" s="36">
        <f t="shared" si="6"/>
        <v>-3.125E-2</v>
      </c>
      <c r="K38" s="23">
        <f t="shared" si="7"/>
        <v>0.92329545454545459</v>
      </c>
      <c r="L38" s="23">
        <f t="shared" si="8"/>
        <v>1.064516129032258</v>
      </c>
    </row>
    <row r="39" spans="1:12" x14ac:dyDescent="0.25">
      <c r="A39" s="20" t="s">
        <v>8</v>
      </c>
      <c r="B39" s="20" t="s">
        <v>9</v>
      </c>
      <c r="C39" s="20">
        <v>7119</v>
      </c>
      <c r="D39" s="20">
        <v>945</v>
      </c>
      <c r="E39" s="20">
        <v>929</v>
      </c>
      <c r="F39" s="20">
        <v>905</v>
      </c>
      <c r="G39" s="20">
        <v>1027</v>
      </c>
      <c r="H39" s="76">
        <f t="shared" si="0"/>
        <v>0.12712459615114483</v>
      </c>
      <c r="I39" s="20">
        <f t="shared" si="5"/>
        <v>-40</v>
      </c>
      <c r="J39" s="37">
        <f t="shared" si="6"/>
        <v>-4.2328042328042326E-2</v>
      </c>
      <c r="K39" s="35">
        <f t="shared" si="7"/>
        <v>0.98306878306878309</v>
      </c>
      <c r="L39" s="35">
        <f t="shared" si="8"/>
        <v>1.1348066298342541</v>
      </c>
    </row>
    <row r="40" spans="1:12" x14ac:dyDescent="0.25">
      <c r="A40" s="19" t="s">
        <v>16</v>
      </c>
      <c r="B40" s="19" t="s">
        <v>17</v>
      </c>
      <c r="C40" s="19">
        <v>4005</v>
      </c>
      <c r="D40" s="19">
        <v>501</v>
      </c>
      <c r="E40" s="19">
        <v>548</v>
      </c>
      <c r="F40" s="19">
        <v>431</v>
      </c>
      <c r="G40" s="19">
        <v>505</v>
      </c>
      <c r="H40" s="75">
        <f t="shared" si="0"/>
        <v>0.10761548064918851</v>
      </c>
      <c r="I40" s="19">
        <f t="shared" si="5"/>
        <v>-70</v>
      </c>
      <c r="J40" s="36">
        <f t="shared" si="6"/>
        <v>-0.13972055888223553</v>
      </c>
      <c r="K40" s="23">
        <f t="shared" si="7"/>
        <v>1.093812375249501</v>
      </c>
      <c r="L40" s="23">
        <f t="shared" si="8"/>
        <v>1.1716937354988399</v>
      </c>
    </row>
    <row r="41" spans="1:12" ht="15.75" x14ac:dyDescent="0.25">
      <c r="A41" s="22"/>
      <c r="B41" s="22" t="s">
        <v>74</v>
      </c>
      <c r="C41" s="22">
        <f>SUM(C3:C40)</f>
        <v>77712</v>
      </c>
      <c r="D41" s="22">
        <f>SUM(D3:D40)</f>
        <v>12888</v>
      </c>
      <c r="E41" s="22">
        <f>SUM(E3:E40)</f>
        <v>12438</v>
      </c>
      <c r="F41" s="22">
        <f>SUM(F3:F40)</f>
        <v>13169</v>
      </c>
      <c r="G41" s="22">
        <f>SUM(G3:G40)</f>
        <v>15530</v>
      </c>
      <c r="H41" s="72">
        <f t="shared" si="0"/>
        <v>0.16945902820671196</v>
      </c>
      <c r="I41" s="22">
        <f t="shared" si="5"/>
        <v>281</v>
      </c>
      <c r="J41" s="38">
        <f t="shared" si="6"/>
        <v>2.1803227808814402E-2</v>
      </c>
      <c r="K41" s="68">
        <f t="shared" si="7"/>
        <v>0.96508379888268159</v>
      </c>
      <c r="L41" s="68">
        <f t="shared" si="8"/>
        <v>1.1792846837269344</v>
      </c>
    </row>
    <row r="50" spans="3:5" x14ac:dyDescent="0.25">
      <c r="C50" s="8"/>
      <c r="D50" s="8"/>
      <c r="E50" s="8"/>
    </row>
    <row r="51" spans="3:5" x14ac:dyDescent="0.25">
      <c r="C51" s="8"/>
      <c r="D51" s="8"/>
      <c r="E51" s="8"/>
    </row>
  </sheetData>
  <autoFilter ref="A2:L2" xr:uid="{2698232F-0FF6-481C-83EC-D0E722F3B4D5}">
    <sortState xmlns:xlrd2="http://schemas.microsoft.com/office/spreadsheetml/2017/richdata2" ref="A3:L41">
      <sortCondition descending="1" ref="I2"/>
    </sortState>
  </autoFilter>
  <mergeCells count="3">
    <mergeCell ref="D1:E1"/>
    <mergeCell ref="F1:H1"/>
    <mergeCell ref="I1:L1"/>
  </mergeCells>
  <conditionalFormatting sqref="H3:H40">
    <cfRule type="cellIs" dxfId="45" priority="4" operator="lessThan">
      <formula>$H$41</formula>
    </cfRule>
  </conditionalFormatting>
  <conditionalFormatting sqref="J3:J40">
    <cfRule type="cellIs" dxfId="44" priority="3" operator="lessThan">
      <formula>$J$41</formula>
    </cfRule>
  </conditionalFormatting>
  <conditionalFormatting sqref="K3:K40">
    <cfRule type="cellIs" dxfId="43" priority="2" operator="lessThan">
      <formula>$K$41</formula>
    </cfRule>
  </conditionalFormatting>
  <conditionalFormatting sqref="L3:L40">
    <cfRule type="cellIs" dxfId="42" priority="1" operator="lessThan">
      <formula>$L$41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998B-5361-46A3-88D7-E7AB587667A3}">
  <dimension ref="A1:K51"/>
  <sheetViews>
    <sheetView showGridLines="0" zoomScale="84" workbookViewId="0">
      <selection activeCell="F18" sqref="F18"/>
    </sheetView>
  </sheetViews>
  <sheetFormatPr defaultRowHeight="15" x14ac:dyDescent="0.25"/>
  <cols>
    <col min="1" max="2" width="19.28515625" style="7" customWidth="1"/>
    <col min="3" max="3" width="14.42578125" style="7" bestFit="1" customWidth="1"/>
    <col min="4" max="4" width="29.140625" style="7" bestFit="1" customWidth="1"/>
    <col min="5" max="5" width="15.140625" style="7" customWidth="1"/>
    <col min="6" max="6" width="26.140625" customWidth="1"/>
    <col min="7" max="7" width="7.42578125" customWidth="1"/>
    <col min="8" max="8" width="20.28515625" bestFit="1" customWidth="1"/>
    <col min="9" max="9" width="16.140625" style="69" bestFit="1" customWidth="1"/>
    <col min="10" max="10" width="33.85546875" bestFit="1" customWidth="1"/>
    <col min="11" max="11" width="31.28515625" bestFit="1" customWidth="1"/>
    <col min="12" max="73" width="8.7109375" bestFit="1" customWidth="1"/>
  </cols>
  <sheetData>
    <row r="1" spans="1:11" ht="33" customHeight="1" x14ac:dyDescent="0.3">
      <c r="A1" s="56"/>
      <c r="B1" s="56"/>
      <c r="C1" s="54"/>
      <c r="D1" s="96" t="s">
        <v>137</v>
      </c>
      <c r="E1" s="96"/>
      <c r="F1" s="97" t="s">
        <v>140</v>
      </c>
      <c r="G1" s="97"/>
      <c r="H1" s="98" t="s">
        <v>145</v>
      </c>
      <c r="I1" s="98"/>
      <c r="J1" s="98"/>
      <c r="K1" s="98"/>
    </row>
    <row r="2" spans="1:11" ht="18.75" x14ac:dyDescent="0.3">
      <c r="A2" s="54" t="s">
        <v>0</v>
      </c>
      <c r="B2" s="54" t="s">
        <v>1</v>
      </c>
      <c r="C2" s="54" t="s">
        <v>4</v>
      </c>
      <c r="D2" s="54" t="s">
        <v>138</v>
      </c>
      <c r="E2" s="54" t="s">
        <v>75</v>
      </c>
      <c r="F2" s="82" t="s">
        <v>138</v>
      </c>
      <c r="G2" s="82" t="s">
        <v>75</v>
      </c>
      <c r="H2" s="63" t="s">
        <v>97</v>
      </c>
      <c r="I2" s="63" t="s">
        <v>87</v>
      </c>
      <c r="J2" s="9" t="s">
        <v>144</v>
      </c>
      <c r="K2" s="9" t="s">
        <v>102</v>
      </c>
    </row>
    <row r="3" spans="1:11" x14ac:dyDescent="0.25">
      <c r="A3" s="20" t="s">
        <v>6</v>
      </c>
      <c r="B3" s="20" t="s">
        <v>7</v>
      </c>
      <c r="C3" s="20">
        <v>21396</v>
      </c>
      <c r="D3" s="20">
        <v>4168</v>
      </c>
      <c r="E3" s="20">
        <v>70</v>
      </c>
      <c r="F3" s="20">
        <v>4216</v>
      </c>
      <c r="G3" s="20">
        <v>97</v>
      </c>
      <c r="H3" s="20">
        <f t="shared" ref="H3:H40" si="0">G3-E3</f>
        <v>27</v>
      </c>
      <c r="I3" s="37">
        <f t="shared" ref="I3:I40" si="1">IFERROR((F3-D3)/D3,0)</f>
        <v>1.1516314779270634E-2</v>
      </c>
      <c r="J3" s="23">
        <f t="shared" ref="J3:J41" si="2">IFERROR(E3/D3,0)</f>
        <v>1.6794625719769675E-2</v>
      </c>
      <c r="K3" s="23">
        <f t="shared" ref="K3:K41" si="3">IFERROR(G3/F3,0)</f>
        <v>2.3007590132827323E-2</v>
      </c>
    </row>
    <row r="4" spans="1:11" x14ac:dyDescent="0.25">
      <c r="A4" s="19" t="s">
        <v>8</v>
      </c>
      <c r="B4" s="19" t="s">
        <v>9</v>
      </c>
      <c r="C4" s="19">
        <v>7119</v>
      </c>
      <c r="D4" s="19">
        <v>945</v>
      </c>
      <c r="E4" s="19">
        <v>6</v>
      </c>
      <c r="F4" s="19">
        <v>905</v>
      </c>
      <c r="G4" s="19">
        <v>9</v>
      </c>
      <c r="H4" s="19">
        <f t="shared" si="0"/>
        <v>3</v>
      </c>
      <c r="I4" s="36">
        <f t="shared" si="1"/>
        <v>-4.2328042328042326E-2</v>
      </c>
      <c r="J4" s="35">
        <f t="shared" si="2"/>
        <v>6.3492063492063492E-3</v>
      </c>
      <c r="K4" s="35">
        <f t="shared" si="3"/>
        <v>9.9447513812154689E-3</v>
      </c>
    </row>
    <row r="5" spans="1:11" x14ac:dyDescent="0.25">
      <c r="A5" s="20" t="s">
        <v>36</v>
      </c>
      <c r="B5" s="20" t="s">
        <v>37</v>
      </c>
      <c r="C5" s="20">
        <v>1213</v>
      </c>
      <c r="D5" s="20">
        <v>259</v>
      </c>
      <c r="E5" s="20">
        <v>3</v>
      </c>
      <c r="F5" s="20">
        <v>269</v>
      </c>
      <c r="G5" s="20">
        <v>6</v>
      </c>
      <c r="H5" s="20">
        <f t="shared" si="0"/>
        <v>3</v>
      </c>
      <c r="I5" s="37">
        <f t="shared" si="1"/>
        <v>3.8610038610038609E-2</v>
      </c>
      <c r="J5" s="23">
        <f t="shared" si="2"/>
        <v>1.1583011583011582E-2</v>
      </c>
      <c r="K5" s="23">
        <f t="shared" si="3"/>
        <v>2.2304832713754646E-2</v>
      </c>
    </row>
    <row r="6" spans="1:11" x14ac:dyDescent="0.25">
      <c r="A6" s="19" t="s">
        <v>40</v>
      </c>
      <c r="B6" s="19" t="s">
        <v>41</v>
      </c>
      <c r="C6" s="19">
        <v>1410</v>
      </c>
      <c r="D6" s="19">
        <v>239</v>
      </c>
      <c r="E6" s="19">
        <v>1</v>
      </c>
      <c r="F6" s="19">
        <v>238</v>
      </c>
      <c r="G6" s="19">
        <v>4</v>
      </c>
      <c r="H6" s="19">
        <f t="shared" si="0"/>
        <v>3</v>
      </c>
      <c r="I6" s="36">
        <f t="shared" si="1"/>
        <v>-4.1841004184100415E-3</v>
      </c>
      <c r="J6" s="35">
        <f t="shared" si="2"/>
        <v>4.1841004184100415E-3</v>
      </c>
      <c r="K6" s="35">
        <f t="shared" si="3"/>
        <v>1.680672268907563E-2</v>
      </c>
    </row>
    <row r="7" spans="1:11" x14ac:dyDescent="0.25">
      <c r="A7" s="20" t="s">
        <v>50</v>
      </c>
      <c r="B7" s="20" t="s">
        <v>51</v>
      </c>
      <c r="C7" s="20">
        <v>940</v>
      </c>
      <c r="D7" s="20">
        <v>286</v>
      </c>
      <c r="E7" s="20">
        <v>1</v>
      </c>
      <c r="F7" s="20">
        <v>329</v>
      </c>
      <c r="G7" s="20">
        <v>3</v>
      </c>
      <c r="H7" s="20">
        <f t="shared" si="0"/>
        <v>2</v>
      </c>
      <c r="I7" s="37">
        <f t="shared" si="1"/>
        <v>0.15034965034965034</v>
      </c>
      <c r="J7" s="23">
        <f t="shared" si="2"/>
        <v>3.4965034965034965E-3</v>
      </c>
      <c r="K7" s="23">
        <f t="shared" si="3"/>
        <v>9.11854103343465E-3</v>
      </c>
    </row>
    <row r="8" spans="1:11" x14ac:dyDescent="0.25">
      <c r="A8" s="19" t="s">
        <v>12</v>
      </c>
      <c r="B8" s="19" t="s">
        <v>13</v>
      </c>
      <c r="C8" s="19">
        <v>4172</v>
      </c>
      <c r="D8" s="19">
        <v>701</v>
      </c>
      <c r="E8" s="19">
        <v>1</v>
      </c>
      <c r="F8" s="19">
        <v>698</v>
      </c>
      <c r="G8" s="19">
        <v>2</v>
      </c>
      <c r="H8" s="19">
        <f t="shared" si="0"/>
        <v>1</v>
      </c>
      <c r="I8" s="36">
        <f t="shared" si="1"/>
        <v>-4.2796005706134095E-3</v>
      </c>
      <c r="J8" s="35">
        <f t="shared" si="2"/>
        <v>1.4265335235378032E-3</v>
      </c>
      <c r="K8" s="35">
        <f t="shared" si="3"/>
        <v>2.8653295128939827E-3</v>
      </c>
    </row>
    <row r="9" spans="1:11" x14ac:dyDescent="0.25">
      <c r="A9" s="20" t="s">
        <v>16</v>
      </c>
      <c r="B9" s="20" t="s">
        <v>17</v>
      </c>
      <c r="C9" s="20">
        <v>4005</v>
      </c>
      <c r="D9" s="20">
        <v>501</v>
      </c>
      <c r="E9" s="20">
        <v>5</v>
      </c>
      <c r="F9" s="20">
        <v>431</v>
      </c>
      <c r="G9" s="20">
        <v>6</v>
      </c>
      <c r="H9" s="20">
        <f t="shared" si="0"/>
        <v>1</v>
      </c>
      <c r="I9" s="37">
        <f t="shared" si="1"/>
        <v>-0.13972055888223553</v>
      </c>
      <c r="J9" s="23">
        <f t="shared" si="2"/>
        <v>9.9800399201596807E-3</v>
      </c>
      <c r="K9" s="23">
        <f t="shared" si="3"/>
        <v>1.3921113689095127E-2</v>
      </c>
    </row>
    <row r="10" spans="1:11" x14ac:dyDescent="0.25">
      <c r="A10" s="19" t="s">
        <v>28</v>
      </c>
      <c r="B10" s="19" t="s">
        <v>29</v>
      </c>
      <c r="C10" s="19">
        <v>4317</v>
      </c>
      <c r="D10" s="19">
        <v>439</v>
      </c>
      <c r="E10" s="19">
        <v>4</v>
      </c>
      <c r="F10" s="19">
        <v>459</v>
      </c>
      <c r="G10" s="19">
        <v>5</v>
      </c>
      <c r="H10" s="19">
        <f t="shared" si="0"/>
        <v>1</v>
      </c>
      <c r="I10" s="36">
        <f t="shared" si="1"/>
        <v>4.5558086560364468E-2</v>
      </c>
      <c r="J10" s="35">
        <f t="shared" si="2"/>
        <v>9.1116173120728925E-3</v>
      </c>
      <c r="K10" s="35">
        <f t="shared" si="3"/>
        <v>1.0893246187363835E-2</v>
      </c>
    </row>
    <row r="11" spans="1:11" x14ac:dyDescent="0.25">
      <c r="A11" s="20" t="s">
        <v>34</v>
      </c>
      <c r="B11" s="20" t="s">
        <v>35</v>
      </c>
      <c r="C11" s="20">
        <v>1167</v>
      </c>
      <c r="D11" s="20">
        <v>249</v>
      </c>
      <c r="E11" s="20">
        <v>0</v>
      </c>
      <c r="F11" s="20">
        <v>257</v>
      </c>
      <c r="G11" s="20">
        <v>1</v>
      </c>
      <c r="H11" s="20">
        <f t="shared" si="0"/>
        <v>1</v>
      </c>
      <c r="I11" s="37">
        <f t="shared" si="1"/>
        <v>3.2128514056224897E-2</v>
      </c>
      <c r="J11" s="23">
        <f t="shared" si="2"/>
        <v>0</v>
      </c>
      <c r="K11" s="23">
        <f t="shared" si="3"/>
        <v>3.8910505836575876E-3</v>
      </c>
    </row>
    <row r="12" spans="1:11" x14ac:dyDescent="0.25">
      <c r="A12" s="19" t="s">
        <v>46</v>
      </c>
      <c r="B12" s="19" t="s">
        <v>47</v>
      </c>
      <c r="C12" s="19">
        <v>683</v>
      </c>
      <c r="D12" s="19">
        <v>123</v>
      </c>
      <c r="E12" s="19">
        <v>0</v>
      </c>
      <c r="F12" s="19">
        <v>124</v>
      </c>
      <c r="G12" s="19">
        <v>1</v>
      </c>
      <c r="H12" s="19">
        <f t="shared" si="0"/>
        <v>1</v>
      </c>
      <c r="I12" s="36">
        <f t="shared" si="1"/>
        <v>8.130081300813009E-3</v>
      </c>
      <c r="J12" s="35">
        <f t="shared" si="2"/>
        <v>0</v>
      </c>
      <c r="K12" s="35">
        <f t="shared" si="3"/>
        <v>8.0645161290322578E-3</v>
      </c>
    </row>
    <row r="13" spans="1:11" x14ac:dyDescent="0.25">
      <c r="A13" s="20" t="s">
        <v>10</v>
      </c>
      <c r="B13" s="20" t="s">
        <v>11</v>
      </c>
      <c r="C13" s="20">
        <v>6371</v>
      </c>
      <c r="D13" s="20">
        <v>729</v>
      </c>
      <c r="E13" s="20">
        <v>2</v>
      </c>
      <c r="F13" s="20">
        <v>726</v>
      </c>
      <c r="G13" s="20">
        <v>2</v>
      </c>
      <c r="H13" s="20">
        <f t="shared" si="0"/>
        <v>0</v>
      </c>
      <c r="I13" s="37">
        <f t="shared" si="1"/>
        <v>-4.11522633744856E-3</v>
      </c>
      <c r="J13" s="23">
        <f t="shared" si="2"/>
        <v>2.7434842249657062E-3</v>
      </c>
      <c r="K13" s="23">
        <f t="shared" si="3"/>
        <v>2.7548209366391185E-3</v>
      </c>
    </row>
    <row r="14" spans="1:11" x14ac:dyDescent="0.25">
      <c r="A14" s="19" t="s">
        <v>20</v>
      </c>
      <c r="B14" s="19" t="s">
        <v>21</v>
      </c>
      <c r="C14" s="19">
        <v>1868</v>
      </c>
      <c r="D14" s="19">
        <v>211</v>
      </c>
      <c r="E14" s="19">
        <v>0</v>
      </c>
      <c r="F14" s="19">
        <v>211</v>
      </c>
      <c r="G14" s="19">
        <v>0</v>
      </c>
      <c r="H14" s="19">
        <f t="shared" si="0"/>
        <v>0</v>
      </c>
      <c r="I14" s="36">
        <f t="shared" si="1"/>
        <v>0</v>
      </c>
      <c r="J14" s="35">
        <f t="shared" si="2"/>
        <v>0</v>
      </c>
      <c r="K14" s="35">
        <f t="shared" si="3"/>
        <v>0</v>
      </c>
    </row>
    <row r="15" spans="1:11" x14ac:dyDescent="0.25">
      <c r="A15" s="20" t="s">
        <v>24</v>
      </c>
      <c r="B15" s="20" t="s">
        <v>25</v>
      </c>
      <c r="C15" s="20">
        <v>2381</v>
      </c>
      <c r="D15" s="20">
        <v>347</v>
      </c>
      <c r="E15" s="20">
        <v>1</v>
      </c>
      <c r="F15" s="20">
        <v>349</v>
      </c>
      <c r="G15" s="20">
        <v>1</v>
      </c>
      <c r="H15" s="20">
        <f t="shared" si="0"/>
        <v>0</v>
      </c>
      <c r="I15" s="37">
        <f t="shared" si="1"/>
        <v>5.763688760806916E-3</v>
      </c>
      <c r="J15" s="23">
        <f t="shared" si="2"/>
        <v>2.881844380403458E-3</v>
      </c>
      <c r="K15" s="23">
        <f t="shared" si="3"/>
        <v>2.8653295128939827E-3</v>
      </c>
    </row>
    <row r="16" spans="1:11" x14ac:dyDescent="0.25">
      <c r="A16" s="19" t="s">
        <v>26</v>
      </c>
      <c r="B16" s="19" t="s">
        <v>27</v>
      </c>
      <c r="C16" s="19">
        <v>1874</v>
      </c>
      <c r="D16" s="19">
        <v>357</v>
      </c>
      <c r="E16" s="19">
        <v>1</v>
      </c>
      <c r="F16" s="19">
        <v>353</v>
      </c>
      <c r="G16" s="19">
        <v>1</v>
      </c>
      <c r="H16" s="19">
        <f t="shared" si="0"/>
        <v>0</v>
      </c>
      <c r="I16" s="36">
        <f t="shared" si="1"/>
        <v>-1.1204481792717087E-2</v>
      </c>
      <c r="J16" s="35">
        <f t="shared" si="2"/>
        <v>2.8011204481792717E-3</v>
      </c>
      <c r="K16" s="35">
        <f t="shared" si="3"/>
        <v>2.8328611898016999E-3</v>
      </c>
    </row>
    <row r="17" spans="1:11" x14ac:dyDescent="0.25">
      <c r="A17" s="20" t="s">
        <v>30</v>
      </c>
      <c r="B17" s="20" t="s">
        <v>31</v>
      </c>
      <c r="C17" s="20">
        <v>944</v>
      </c>
      <c r="D17" s="20">
        <v>98</v>
      </c>
      <c r="E17" s="20">
        <v>0</v>
      </c>
      <c r="F17" s="20">
        <v>101</v>
      </c>
      <c r="G17" s="20">
        <v>0</v>
      </c>
      <c r="H17" s="20">
        <f t="shared" si="0"/>
        <v>0</v>
      </c>
      <c r="I17" s="37">
        <f t="shared" si="1"/>
        <v>3.0612244897959183E-2</v>
      </c>
      <c r="J17" s="23">
        <f t="shared" si="2"/>
        <v>0</v>
      </c>
      <c r="K17" s="23">
        <f t="shared" si="3"/>
        <v>0</v>
      </c>
    </row>
    <row r="18" spans="1:11" x14ac:dyDescent="0.25">
      <c r="A18" s="19" t="s">
        <v>32</v>
      </c>
      <c r="B18" s="19" t="s">
        <v>33</v>
      </c>
      <c r="C18" s="19">
        <v>2085</v>
      </c>
      <c r="D18" s="19">
        <v>333</v>
      </c>
      <c r="E18" s="19">
        <v>1</v>
      </c>
      <c r="F18" s="19">
        <v>346</v>
      </c>
      <c r="G18" s="19">
        <v>1</v>
      </c>
      <c r="H18" s="19">
        <f t="shared" si="0"/>
        <v>0</v>
      </c>
      <c r="I18" s="36">
        <f t="shared" si="1"/>
        <v>3.903903903903904E-2</v>
      </c>
      <c r="J18" s="35">
        <f t="shared" si="2"/>
        <v>3.003003003003003E-3</v>
      </c>
      <c r="K18" s="35">
        <f t="shared" si="3"/>
        <v>2.8901734104046241E-3</v>
      </c>
    </row>
    <row r="19" spans="1:11" x14ac:dyDescent="0.25">
      <c r="A19" s="20" t="s">
        <v>38</v>
      </c>
      <c r="B19" s="20" t="s">
        <v>39</v>
      </c>
      <c r="C19" s="20">
        <v>1087</v>
      </c>
      <c r="D19" s="20">
        <v>249</v>
      </c>
      <c r="E19" s="20">
        <v>0</v>
      </c>
      <c r="F19" s="20">
        <v>254</v>
      </c>
      <c r="G19" s="20">
        <v>0</v>
      </c>
      <c r="H19" s="20">
        <f t="shared" si="0"/>
        <v>0</v>
      </c>
      <c r="I19" s="37">
        <f t="shared" si="1"/>
        <v>2.0080321285140562E-2</v>
      </c>
      <c r="J19" s="23">
        <f t="shared" si="2"/>
        <v>0</v>
      </c>
      <c r="K19" s="23">
        <f t="shared" si="3"/>
        <v>0</v>
      </c>
    </row>
    <row r="20" spans="1:11" x14ac:dyDescent="0.25">
      <c r="A20" s="19" t="s">
        <v>42</v>
      </c>
      <c r="B20" s="19" t="s">
        <v>43</v>
      </c>
      <c r="C20" s="19">
        <v>1048</v>
      </c>
      <c r="D20" s="19">
        <v>276</v>
      </c>
      <c r="E20" s="19">
        <v>1</v>
      </c>
      <c r="F20" s="19">
        <v>276</v>
      </c>
      <c r="G20" s="19">
        <v>1</v>
      </c>
      <c r="H20" s="19">
        <f t="shared" si="0"/>
        <v>0</v>
      </c>
      <c r="I20" s="36">
        <f t="shared" si="1"/>
        <v>0</v>
      </c>
      <c r="J20" s="35">
        <f t="shared" si="2"/>
        <v>3.6231884057971015E-3</v>
      </c>
      <c r="K20" s="35">
        <f t="shared" si="3"/>
        <v>3.6231884057971015E-3</v>
      </c>
    </row>
    <row r="21" spans="1:11" x14ac:dyDescent="0.25">
      <c r="A21" s="20" t="s">
        <v>44</v>
      </c>
      <c r="B21" s="20" t="s">
        <v>45</v>
      </c>
      <c r="C21" s="20">
        <v>1659</v>
      </c>
      <c r="D21" s="20">
        <v>196</v>
      </c>
      <c r="E21" s="20">
        <v>1</v>
      </c>
      <c r="F21" s="20">
        <v>195</v>
      </c>
      <c r="G21" s="20">
        <v>1</v>
      </c>
      <c r="H21" s="20">
        <f t="shared" si="0"/>
        <v>0</v>
      </c>
      <c r="I21" s="37">
        <f t="shared" si="1"/>
        <v>-5.1020408163265302E-3</v>
      </c>
      <c r="J21" s="23">
        <f t="shared" si="2"/>
        <v>5.1020408163265302E-3</v>
      </c>
      <c r="K21" s="23">
        <f t="shared" si="3"/>
        <v>5.1282051282051282E-3</v>
      </c>
    </row>
    <row r="22" spans="1:11" x14ac:dyDescent="0.25">
      <c r="A22" s="19" t="s">
        <v>48</v>
      </c>
      <c r="B22" s="19" t="s">
        <v>49</v>
      </c>
      <c r="C22" s="19">
        <v>796</v>
      </c>
      <c r="D22" s="19">
        <v>296</v>
      </c>
      <c r="E22" s="19">
        <v>1</v>
      </c>
      <c r="F22" s="19">
        <v>294</v>
      </c>
      <c r="G22" s="19">
        <v>1</v>
      </c>
      <c r="H22" s="19">
        <f t="shared" si="0"/>
        <v>0</v>
      </c>
      <c r="I22" s="36">
        <f t="shared" si="1"/>
        <v>-6.7567567567567571E-3</v>
      </c>
      <c r="J22" s="35">
        <f t="shared" si="2"/>
        <v>3.3783783783783786E-3</v>
      </c>
      <c r="K22" s="35">
        <f t="shared" si="3"/>
        <v>3.4013605442176869E-3</v>
      </c>
    </row>
    <row r="23" spans="1:11" x14ac:dyDescent="0.25">
      <c r="A23" s="20" t="s">
        <v>52</v>
      </c>
      <c r="B23" s="20" t="s">
        <v>53</v>
      </c>
      <c r="C23" s="20">
        <v>802</v>
      </c>
      <c r="D23" s="20">
        <v>0</v>
      </c>
      <c r="E23" s="20">
        <v>0</v>
      </c>
      <c r="F23" s="20">
        <v>0</v>
      </c>
      <c r="G23" s="20">
        <v>0</v>
      </c>
      <c r="H23" s="20">
        <f t="shared" si="0"/>
        <v>0</v>
      </c>
      <c r="I23" s="37">
        <f t="shared" si="1"/>
        <v>0</v>
      </c>
      <c r="J23" s="23">
        <f t="shared" si="2"/>
        <v>0</v>
      </c>
      <c r="K23" s="23">
        <f t="shared" si="3"/>
        <v>0</v>
      </c>
    </row>
    <row r="24" spans="1:11" x14ac:dyDescent="0.25">
      <c r="A24" s="19" t="s">
        <v>54</v>
      </c>
      <c r="B24" s="19" t="s">
        <v>55</v>
      </c>
      <c r="C24" s="19">
        <v>949</v>
      </c>
      <c r="D24" s="19">
        <v>113</v>
      </c>
      <c r="E24" s="19">
        <v>0</v>
      </c>
      <c r="F24" s="19">
        <v>136</v>
      </c>
      <c r="G24" s="19">
        <v>0</v>
      </c>
      <c r="H24" s="19">
        <f t="shared" si="0"/>
        <v>0</v>
      </c>
      <c r="I24" s="36">
        <f t="shared" si="1"/>
        <v>0.20353982300884957</v>
      </c>
      <c r="J24" s="35">
        <f t="shared" si="2"/>
        <v>0</v>
      </c>
      <c r="K24" s="35">
        <f t="shared" si="3"/>
        <v>0</v>
      </c>
    </row>
    <row r="25" spans="1:11" x14ac:dyDescent="0.25">
      <c r="A25" s="20" t="s">
        <v>56</v>
      </c>
      <c r="B25" s="20" t="s">
        <v>57</v>
      </c>
      <c r="C25" s="20">
        <v>312</v>
      </c>
      <c r="D25" s="20">
        <v>245</v>
      </c>
      <c r="E25" s="20">
        <v>0</v>
      </c>
      <c r="F25" s="20">
        <v>308</v>
      </c>
      <c r="G25" s="20">
        <v>0</v>
      </c>
      <c r="H25" s="20">
        <f t="shared" si="0"/>
        <v>0</v>
      </c>
      <c r="I25" s="37">
        <f t="shared" si="1"/>
        <v>0.25714285714285712</v>
      </c>
      <c r="J25" s="23">
        <f t="shared" si="2"/>
        <v>0</v>
      </c>
      <c r="K25" s="23">
        <f t="shared" si="3"/>
        <v>0</v>
      </c>
    </row>
    <row r="26" spans="1:11" x14ac:dyDescent="0.25">
      <c r="A26" s="19" t="s">
        <v>52</v>
      </c>
      <c r="B26" s="19" t="s">
        <v>58</v>
      </c>
      <c r="C26" s="19">
        <v>652</v>
      </c>
      <c r="D26" s="19">
        <v>0</v>
      </c>
      <c r="E26" s="19">
        <v>0</v>
      </c>
      <c r="F26" s="19">
        <v>0</v>
      </c>
      <c r="G26" s="19">
        <v>0</v>
      </c>
      <c r="H26" s="19">
        <f t="shared" si="0"/>
        <v>0</v>
      </c>
      <c r="I26" s="36">
        <f t="shared" si="1"/>
        <v>0</v>
      </c>
      <c r="J26" s="35">
        <f t="shared" si="2"/>
        <v>0</v>
      </c>
      <c r="K26" s="35">
        <f t="shared" si="3"/>
        <v>0</v>
      </c>
    </row>
    <row r="27" spans="1:11" x14ac:dyDescent="0.25">
      <c r="A27" s="20" t="s">
        <v>52</v>
      </c>
      <c r="B27" s="20" t="s">
        <v>59</v>
      </c>
      <c r="C27" s="20">
        <v>219</v>
      </c>
      <c r="D27" s="20">
        <v>0</v>
      </c>
      <c r="E27" s="20">
        <v>0</v>
      </c>
      <c r="F27" s="20">
        <v>0</v>
      </c>
      <c r="G27" s="20">
        <v>0</v>
      </c>
      <c r="H27" s="20">
        <f t="shared" si="0"/>
        <v>0</v>
      </c>
      <c r="I27" s="37">
        <f t="shared" si="1"/>
        <v>0</v>
      </c>
      <c r="J27" s="23">
        <f t="shared" si="2"/>
        <v>0</v>
      </c>
      <c r="K27" s="23">
        <f t="shared" si="3"/>
        <v>0</v>
      </c>
    </row>
    <row r="28" spans="1:11" x14ac:dyDescent="0.25">
      <c r="A28" s="19" t="s">
        <v>60</v>
      </c>
      <c r="B28" s="19" t="s">
        <v>61</v>
      </c>
      <c r="C28" s="19">
        <v>282</v>
      </c>
      <c r="D28" s="19">
        <v>174</v>
      </c>
      <c r="E28" s="19">
        <v>0</v>
      </c>
      <c r="F28" s="19">
        <v>191</v>
      </c>
      <c r="G28" s="19">
        <v>0</v>
      </c>
      <c r="H28" s="19">
        <f t="shared" si="0"/>
        <v>0</v>
      </c>
      <c r="I28" s="36">
        <f t="shared" si="1"/>
        <v>9.7701149425287362E-2</v>
      </c>
      <c r="J28" s="35">
        <f t="shared" si="2"/>
        <v>0</v>
      </c>
      <c r="K28" s="35">
        <f t="shared" si="3"/>
        <v>0</v>
      </c>
    </row>
    <row r="29" spans="1:11" x14ac:dyDescent="0.25">
      <c r="A29" s="20" t="s">
        <v>62</v>
      </c>
      <c r="B29" s="20" t="s">
        <v>63</v>
      </c>
      <c r="C29" s="20">
        <v>266</v>
      </c>
      <c r="D29" s="20">
        <v>92</v>
      </c>
      <c r="E29" s="20">
        <v>0</v>
      </c>
      <c r="F29" s="20">
        <v>99</v>
      </c>
      <c r="G29" s="20">
        <v>0</v>
      </c>
      <c r="H29" s="20">
        <f t="shared" si="0"/>
        <v>0</v>
      </c>
      <c r="I29" s="37">
        <f t="shared" si="1"/>
        <v>7.6086956521739135E-2</v>
      </c>
      <c r="J29" s="23">
        <f t="shared" si="2"/>
        <v>0</v>
      </c>
      <c r="K29" s="23">
        <f t="shared" si="3"/>
        <v>0</v>
      </c>
    </row>
    <row r="30" spans="1:11" x14ac:dyDescent="0.25">
      <c r="A30" s="19" t="s">
        <v>52</v>
      </c>
      <c r="B30" s="19" t="s">
        <v>64</v>
      </c>
      <c r="C30" s="19">
        <v>75</v>
      </c>
      <c r="D30" s="19">
        <v>0</v>
      </c>
      <c r="E30" s="19">
        <v>0</v>
      </c>
      <c r="F30" s="19">
        <v>0</v>
      </c>
      <c r="G30" s="19">
        <v>0</v>
      </c>
      <c r="H30" s="19">
        <f t="shared" si="0"/>
        <v>0</v>
      </c>
      <c r="I30" s="36">
        <f t="shared" si="1"/>
        <v>0</v>
      </c>
      <c r="J30" s="35">
        <f t="shared" si="2"/>
        <v>0</v>
      </c>
      <c r="K30" s="35">
        <f t="shared" si="3"/>
        <v>0</v>
      </c>
    </row>
    <row r="31" spans="1:11" x14ac:dyDescent="0.25">
      <c r="A31" s="20" t="s">
        <v>65</v>
      </c>
      <c r="B31" s="20" t="s">
        <v>66</v>
      </c>
      <c r="C31" s="20">
        <v>269</v>
      </c>
      <c r="D31" s="20">
        <v>43</v>
      </c>
      <c r="E31" s="20">
        <v>0</v>
      </c>
      <c r="F31" s="20">
        <v>79</v>
      </c>
      <c r="G31" s="20">
        <v>0</v>
      </c>
      <c r="H31" s="20">
        <f t="shared" si="0"/>
        <v>0</v>
      </c>
      <c r="I31" s="37">
        <f t="shared" si="1"/>
        <v>0.83720930232558144</v>
      </c>
      <c r="J31" s="23">
        <f t="shared" si="2"/>
        <v>0</v>
      </c>
      <c r="K31" s="23">
        <f t="shared" si="3"/>
        <v>0</v>
      </c>
    </row>
    <row r="32" spans="1:11" x14ac:dyDescent="0.25">
      <c r="A32" s="19" t="s">
        <v>67</v>
      </c>
      <c r="B32" s="19" t="s">
        <v>68</v>
      </c>
      <c r="C32" s="19">
        <v>93</v>
      </c>
      <c r="D32" s="19">
        <v>6</v>
      </c>
      <c r="E32" s="19">
        <v>0</v>
      </c>
      <c r="F32" s="19">
        <v>26</v>
      </c>
      <c r="G32" s="19">
        <v>0</v>
      </c>
      <c r="H32" s="19">
        <f t="shared" si="0"/>
        <v>0</v>
      </c>
      <c r="I32" s="36">
        <f t="shared" si="1"/>
        <v>3.3333333333333335</v>
      </c>
      <c r="J32" s="35">
        <f t="shared" si="2"/>
        <v>0</v>
      </c>
      <c r="K32" s="35">
        <f t="shared" si="3"/>
        <v>0</v>
      </c>
    </row>
    <row r="33" spans="1:11" x14ac:dyDescent="0.25">
      <c r="A33" s="20" t="s">
        <v>52</v>
      </c>
      <c r="B33" s="20" t="s">
        <v>69</v>
      </c>
      <c r="C33" s="20">
        <v>122</v>
      </c>
      <c r="D33" s="20">
        <v>0</v>
      </c>
      <c r="E33" s="20">
        <v>0</v>
      </c>
      <c r="F33" s="20">
        <v>0</v>
      </c>
      <c r="G33" s="20">
        <v>0</v>
      </c>
      <c r="H33" s="20">
        <f t="shared" si="0"/>
        <v>0</v>
      </c>
      <c r="I33" s="37">
        <f t="shared" si="1"/>
        <v>0</v>
      </c>
      <c r="J33" s="23">
        <f t="shared" si="2"/>
        <v>0</v>
      </c>
      <c r="K33" s="23">
        <f t="shared" si="3"/>
        <v>0</v>
      </c>
    </row>
    <row r="34" spans="1:11" x14ac:dyDescent="0.25">
      <c r="A34" s="19" t="s">
        <v>52</v>
      </c>
      <c r="B34" s="19" t="s">
        <v>70</v>
      </c>
      <c r="C34" s="19">
        <v>77</v>
      </c>
      <c r="D34" s="19">
        <v>0</v>
      </c>
      <c r="E34" s="19">
        <v>0</v>
      </c>
      <c r="F34" s="19">
        <v>0</v>
      </c>
      <c r="G34" s="19">
        <v>0</v>
      </c>
      <c r="H34" s="19">
        <f t="shared" si="0"/>
        <v>0</v>
      </c>
      <c r="I34" s="36">
        <f t="shared" si="1"/>
        <v>0</v>
      </c>
      <c r="J34" s="35">
        <f t="shared" si="2"/>
        <v>0</v>
      </c>
      <c r="K34" s="35">
        <f t="shared" si="3"/>
        <v>0</v>
      </c>
    </row>
    <row r="35" spans="1:11" x14ac:dyDescent="0.25">
      <c r="A35" s="20" t="s">
        <v>52</v>
      </c>
      <c r="B35" s="20" t="s">
        <v>71</v>
      </c>
      <c r="C35" s="20">
        <v>84</v>
      </c>
      <c r="D35" s="20">
        <v>0</v>
      </c>
      <c r="E35" s="20">
        <v>0</v>
      </c>
      <c r="F35" s="20">
        <v>0</v>
      </c>
      <c r="G35" s="20">
        <v>0</v>
      </c>
      <c r="H35" s="20">
        <f t="shared" si="0"/>
        <v>0</v>
      </c>
      <c r="I35" s="37">
        <f t="shared" si="1"/>
        <v>0</v>
      </c>
      <c r="J35" s="23">
        <f t="shared" si="2"/>
        <v>0</v>
      </c>
      <c r="K35" s="23">
        <f t="shared" si="3"/>
        <v>0</v>
      </c>
    </row>
    <row r="36" spans="1:11" x14ac:dyDescent="0.25">
      <c r="A36" s="19" t="s">
        <v>52</v>
      </c>
      <c r="B36" s="19" t="s">
        <v>72</v>
      </c>
      <c r="C36" s="19">
        <v>134</v>
      </c>
      <c r="D36" s="19">
        <v>0</v>
      </c>
      <c r="E36" s="19">
        <v>0</v>
      </c>
      <c r="F36" s="19">
        <v>0</v>
      </c>
      <c r="G36" s="19">
        <v>0</v>
      </c>
      <c r="H36" s="19">
        <f t="shared" si="0"/>
        <v>0</v>
      </c>
      <c r="I36" s="36">
        <f t="shared" si="1"/>
        <v>0</v>
      </c>
      <c r="J36" s="35">
        <f t="shared" si="2"/>
        <v>0</v>
      </c>
      <c r="K36" s="35">
        <f t="shared" si="3"/>
        <v>0</v>
      </c>
    </row>
    <row r="37" spans="1:11" x14ac:dyDescent="0.25">
      <c r="A37" s="20" t="s">
        <v>52</v>
      </c>
      <c r="B37" s="20" t="s">
        <v>73</v>
      </c>
      <c r="C37" s="20">
        <v>35</v>
      </c>
      <c r="D37" s="20">
        <v>0</v>
      </c>
      <c r="E37" s="20">
        <v>0</v>
      </c>
      <c r="F37" s="20">
        <v>0</v>
      </c>
      <c r="G37" s="20">
        <v>0</v>
      </c>
      <c r="H37" s="20">
        <f t="shared" si="0"/>
        <v>0</v>
      </c>
      <c r="I37" s="37">
        <f t="shared" si="1"/>
        <v>0</v>
      </c>
      <c r="J37" s="23">
        <f t="shared" si="2"/>
        <v>0</v>
      </c>
      <c r="K37" s="23">
        <f t="shared" si="3"/>
        <v>0</v>
      </c>
    </row>
    <row r="38" spans="1:11" x14ac:dyDescent="0.25">
      <c r="A38" s="19" t="s">
        <v>14</v>
      </c>
      <c r="B38" s="19" t="s">
        <v>15</v>
      </c>
      <c r="C38" s="19">
        <v>2711</v>
      </c>
      <c r="D38" s="19">
        <v>461</v>
      </c>
      <c r="E38" s="19">
        <v>3</v>
      </c>
      <c r="F38" s="19">
        <v>531</v>
      </c>
      <c r="G38" s="19">
        <v>2</v>
      </c>
      <c r="H38" s="19">
        <f t="shared" si="0"/>
        <v>-1</v>
      </c>
      <c r="I38" s="36">
        <f t="shared" si="1"/>
        <v>0.15184381778741865</v>
      </c>
      <c r="J38" s="35">
        <f t="shared" si="2"/>
        <v>6.5075921908893707E-3</v>
      </c>
      <c r="K38" s="35">
        <f t="shared" si="3"/>
        <v>3.766478342749529E-3</v>
      </c>
    </row>
    <row r="39" spans="1:11" x14ac:dyDescent="0.25">
      <c r="A39" s="20" t="s">
        <v>18</v>
      </c>
      <c r="B39" s="20" t="s">
        <v>19</v>
      </c>
      <c r="C39" s="20">
        <v>2529</v>
      </c>
      <c r="D39" s="20">
        <v>400</v>
      </c>
      <c r="E39" s="20">
        <v>1</v>
      </c>
      <c r="F39" s="20">
        <v>427</v>
      </c>
      <c r="G39" s="20">
        <v>0</v>
      </c>
      <c r="H39" s="20">
        <f t="shared" si="0"/>
        <v>-1</v>
      </c>
      <c r="I39" s="37">
        <f t="shared" si="1"/>
        <v>6.7500000000000004E-2</v>
      </c>
      <c r="J39" s="23">
        <f t="shared" si="2"/>
        <v>2.5000000000000001E-3</v>
      </c>
      <c r="K39" s="23">
        <f t="shared" si="3"/>
        <v>0</v>
      </c>
    </row>
    <row r="40" spans="1:11" x14ac:dyDescent="0.25">
      <c r="A40" s="19" t="s">
        <v>22</v>
      </c>
      <c r="B40" s="19" t="s">
        <v>23</v>
      </c>
      <c r="C40" s="19">
        <v>1566</v>
      </c>
      <c r="D40" s="19">
        <v>352</v>
      </c>
      <c r="E40" s="19">
        <v>8</v>
      </c>
      <c r="F40" s="19">
        <v>341</v>
      </c>
      <c r="G40" s="19">
        <v>4</v>
      </c>
      <c r="H40" s="19">
        <f t="shared" si="0"/>
        <v>-4</v>
      </c>
      <c r="I40" s="36">
        <f t="shared" si="1"/>
        <v>-3.125E-2</v>
      </c>
      <c r="J40" s="35">
        <f t="shared" si="2"/>
        <v>2.2727272727272728E-2</v>
      </c>
      <c r="K40" s="35">
        <f t="shared" si="3"/>
        <v>1.1730205278592375E-2</v>
      </c>
    </row>
    <row r="41" spans="1:11" ht="15.75" x14ac:dyDescent="0.25">
      <c r="A41" s="22"/>
      <c r="B41" s="22" t="s">
        <v>74</v>
      </c>
      <c r="C41" s="27">
        <v>77712</v>
      </c>
      <c r="D41" s="22">
        <f>SUM(D3:D40)</f>
        <v>12888</v>
      </c>
      <c r="E41" s="22">
        <f>SUM(E3:E40)</f>
        <v>111</v>
      </c>
      <c r="F41" s="22">
        <f>SUM(F3:F40)</f>
        <v>13169</v>
      </c>
      <c r="G41" s="22">
        <f>SUM(G3:G40)</f>
        <v>148</v>
      </c>
      <c r="H41" s="22">
        <f>SUM(H3:H40)</f>
        <v>37</v>
      </c>
      <c r="I41" s="38">
        <f>(F41-D41)/D41</f>
        <v>2.1803227808814402E-2</v>
      </c>
      <c r="J41" s="68">
        <f t="shared" si="2"/>
        <v>8.6126629422718804E-3</v>
      </c>
      <c r="K41" s="68">
        <f t="shared" si="3"/>
        <v>1.1238514693598602E-2</v>
      </c>
    </row>
    <row r="50" spans="3:5" x14ac:dyDescent="0.25">
      <c r="C50" s="8"/>
      <c r="D50" s="8"/>
      <c r="E50" s="8"/>
    </row>
    <row r="51" spans="3:5" x14ac:dyDescent="0.25">
      <c r="C51" s="8"/>
      <c r="D51" s="8"/>
      <c r="E51" s="8"/>
    </row>
  </sheetData>
  <mergeCells count="3">
    <mergeCell ref="D1:E1"/>
    <mergeCell ref="F1:G1"/>
    <mergeCell ref="H1:K1"/>
  </mergeCells>
  <conditionalFormatting sqref="I3:I41">
    <cfRule type="cellIs" dxfId="41" priority="6" operator="lessThan">
      <formula>$I$40</formula>
    </cfRule>
  </conditionalFormatting>
  <conditionalFormatting sqref="J3:J40">
    <cfRule type="cellIs" dxfId="40" priority="5" operator="lessThan">
      <formula>$J$40</formula>
    </cfRule>
  </conditionalFormatting>
  <conditionalFormatting sqref="K3:K40">
    <cfRule type="cellIs" dxfId="39" priority="4" operator="lessThan">
      <formula>$K$40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E1EF-C2AD-445B-B4B0-EAC0B347C5C3}">
  <dimension ref="A1:K51"/>
  <sheetViews>
    <sheetView showGridLines="0" zoomScale="84" workbookViewId="0">
      <selection activeCell="G41" sqref="G41"/>
    </sheetView>
  </sheetViews>
  <sheetFormatPr defaultRowHeight="15" x14ac:dyDescent="0.25"/>
  <cols>
    <col min="1" max="2" width="19.28515625" style="7" customWidth="1"/>
    <col min="3" max="3" width="15.85546875" style="7" bestFit="1" customWidth="1"/>
    <col min="4" max="4" width="30.5703125" style="7" bestFit="1" customWidth="1"/>
    <col min="5" max="5" width="20.85546875" style="7" bestFit="1" customWidth="1"/>
    <col min="6" max="6" width="31.5703125" bestFit="1" customWidth="1"/>
    <col min="7" max="7" width="20.85546875" bestFit="1" customWidth="1"/>
    <col min="8" max="8" width="19.42578125" bestFit="1" customWidth="1"/>
    <col min="9" max="9" width="15.42578125" style="69" bestFit="1" customWidth="1"/>
    <col min="10" max="10" width="47.7109375" bestFit="1" customWidth="1"/>
    <col min="11" max="11" width="45.7109375" bestFit="1" customWidth="1"/>
    <col min="12" max="74" width="8.7109375" bestFit="1" customWidth="1"/>
  </cols>
  <sheetData>
    <row r="1" spans="1:11" ht="18.75" x14ac:dyDescent="0.3">
      <c r="A1" s="56"/>
      <c r="B1" s="56"/>
      <c r="C1" s="54"/>
      <c r="D1" s="96" t="s">
        <v>137</v>
      </c>
      <c r="E1" s="96"/>
      <c r="F1" s="97" t="s">
        <v>140</v>
      </c>
      <c r="G1" s="97"/>
      <c r="H1" s="98" t="s">
        <v>145</v>
      </c>
      <c r="I1" s="98"/>
      <c r="J1" s="98"/>
      <c r="K1" s="98"/>
    </row>
    <row r="2" spans="1:11" ht="18.75" x14ac:dyDescent="0.3">
      <c r="A2" s="54" t="s">
        <v>0</v>
      </c>
      <c r="B2" s="54" t="s">
        <v>1</v>
      </c>
      <c r="C2" s="54" t="s">
        <v>4</v>
      </c>
      <c r="D2" s="54" t="s">
        <v>138</v>
      </c>
      <c r="E2" s="54" t="s">
        <v>122</v>
      </c>
      <c r="F2" s="82" t="s">
        <v>138</v>
      </c>
      <c r="G2" s="82" t="s">
        <v>122</v>
      </c>
      <c r="H2" s="9" t="s">
        <v>97</v>
      </c>
      <c r="I2" s="63" t="s">
        <v>87</v>
      </c>
      <c r="J2" s="9" t="s">
        <v>150</v>
      </c>
      <c r="K2" s="9" t="s">
        <v>151</v>
      </c>
    </row>
    <row r="3" spans="1:11" x14ac:dyDescent="0.25">
      <c r="A3" s="20" t="s">
        <v>6</v>
      </c>
      <c r="B3" s="20" t="s">
        <v>7</v>
      </c>
      <c r="C3" s="20">
        <v>21396</v>
      </c>
      <c r="D3" s="20">
        <v>4168</v>
      </c>
      <c r="E3" s="20">
        <v>54</v>
      </c>
      <c r="F3" s="20">
        <v>4216</v>
      </c>
      <c r="G3" s="20">
        <v>163</v>
      </c>
      <c r="H3" s="20">
        <f t="shared" ref="H3:H40" si="0">G3-E3</f>
        <v>109</v>
      </c>
      <c r="I3" s="37">
        <f t="shared" ref="I3:I40" si="1">IFERROR((F3-D3)/D3,0)</f>
        <v>1.1516314779270634E-2</v>
      </c>
      <c r="J3" s="23">
        <f t="shared" ref="J3:J41" si="2">IFERROR(E3/D3,0)</f>
        <v>1.2955854126679463E-2</v>
      </c>
      <c r="K3" s="23">
        <f t="shared" ref="K3:K41" si="3">IFERROR(G3/F3,0)</f>
        <v>3.8662239089184064E-2</v>
      </c>
    </row>
    <row r="4" spans="1:11" x14ac:dyDescent="0.25">
      <c r="A4" s="19" t="s">
        <v>8</v>
      </c>
      <c r="B4" s="19" t="s">
        <v>9</v>
      </c>
      <c r="C4" s="19">
        <v>7119</v>
      </c>
      <c r="D4" s="19">
        <v>945</v>
      </c>
      <c r="E4" s="19">
        <v>19</v>
      </c>
      <c r="F4" s="19">
        <v>905</v>
      </c>
      <c r="G4" s="19">
        <v>43</v>
      </c>
      <c r="H4" s="19">
        <f t="shared" si="0"/>
        <v>24</v>
      </c>
      <c r="I4" s="36">
        <f t="shared" si="1"/>
        <v>-4.2328042328042326E-2</v>
      </c>
      <c r="J4" s="35">
        <f t="shared" si="2"/>
        <v>2.0105820105820106E-2</v>
      </c>
      <c r="K4" s="35">
        <f t="shared" si="3"/>
        <v>4.7513812154696133E-2</v>
      </c>
    </row>
    <row r="5" spans="1:11" x14ac:dyDescent="0.25">
      <c r="A5" s="20" t="s">
        <v>10</v>
      </c>
      <c r="B5" s="20" t="s">
        <v>11</v>
      </c>
      <c r="C5" s="20">
        <v>6371</v>
      </c>
      <c r="D5" s="20">
        <v>729</v>
      </c>
      <c r="E5" s="20">
        <v>13</v>
      </c>
      <c r="F5" s="20">
        <v>726</v>
      </c>
      <c r="G5" s="20">
        <v>28</v>
      </c>
      <c r="H5" s="20">
        <f t="shared" si="0"/>
        <v>15</v>
      </c>
      <c r="I5" s="37">
        <f t="shared" si="1"/>
        <v>-4.11522633744856E-3</v>
      </c>
      <c r="J5" s="23">
        <f t="shared" si="2"/>
        <v>1.7832647462277092E-2</v>
      </c>
      <c r="K5" s="23">
        <f t="shared" si="3"/>
        <v>3.8567493112947659E-2</v>
      </c>
    </row>
    <row r="6" spans="1:11" x14ac:dyDescent="0.25">
      <c r="A6" s="19" t="s">
        <v>12</v>
      </c>
      <c r="B6" s="19" t="s">
        <v>13</v>
      </c>
      <c r="C6" s="19">
        <v>4172</v>
      </c>
      <c r="D6" s="19">
        <v>701</v>
      </c>
      <c r="E6" s="19">
        <v>11</v>
      </c>
      <c r="F6" s="19">
        <v>698</v>
      </c>
      <c r="G6" s="19">
        <v>23</v>
      </c>
      <c r="H6" s="19">
        <f t="shared" si="0"/>
        <v>12</v>
      </c>
      <c r="I6" s="36">
        <f t="shared" si="1"/>
        <v>-4.2796005706134095E-3</v>
      </c>
      <c r="J6" s="35">
        <f t="shared" si="2"/>
        <v>1.5691868758915834E-2</v>
      </c>
      <c r="K6" s="35">
        <f t="shared" si="3"/>
        <v>3.2951289398280799E-2</v>
      </c>
    </row>
    <row r="7" spans="1:11" x14ac:dyDescent="0.25">
      <c r="A7" s="20" t="s">
        <v>26</v>
      </c>
      <c r="B7" s="20" t="s">
        <v>27</v>
      </c>
      <c r="C7" s="20">
        <v>1874</v>
      </c>
      <c r="D7" s="20">
        <v>357</v>
      </c>
      <c r="E7" s="20">
        <v>5</v>
      </c>
      <c r="F7" s="20">
        <v>353</v>
      </c>
      <c r="G7" s="20">
        <v>16</v>
      </c>
      <c r="H7" s="20">
        <f t="shared" si="0"/>
        <v>11</v>
      </c>
      <c r="I7" s="37">
        <f t="shared" si="1"/>
        <v>-1.1204481792717087E-2</v>
      </c>
      <c r="J7" s="23">
        <f t="shared" si="2"/>
        <v>1.4005602240896359E-2</v>
      </c>
      <c r="K7" s="23">
        <f t="shared" si="3"/>
        <v>4.5325779036827198E-2</v>
      </c>
    </row>
    <row r="8" spans="1:11" x14ac:dyDescent="0.25">
      <c r="A8" s="19" t="s">
        <v>24</v>
      </c>
      <c r="B8" s="19" t="s">
        <v>25</v>
      </c>
      <c r="C8" s="19">
        <v>2381</v>
      </c>
      <c r="D8" s="19">
        <v>347</v>
      </c>
      <c r="E8" s="19">
        <v>6</v>
      </c>
      <c r="F8" s="19">
        <v>349</v>
      </c>
      <c r="G8" s="19">
        <v>16</v>
      </c>
      <c r="H8" s="19">
        <f t="shared" si="0"/>
        <v>10</v>
      </c>
      <c r="I8" s="36">
        <f t="shared" si="1"/>
        <v>5.763688760806916E-3</v>
      </c>
      <c r="J8" s="35">
        <f t="shared" si="2"/>
        <v>1.7291066282420751E-2</v>
      </c>
      <c r="K8" s="35">
        <f t="shared" si="3"/>
        <v>4.5845272206303724E-2</v>
      </c>
    </row>
    <row r="9" spans="1:11" x14ac:dyDescent="0.25">
      <c r="A9" s="20" t="s">
        <v>40</v>
      </c>
      <c r="B9" s="20" t="s">
        <v>41</v>
      </c>
      <c r="C9" s="20">
        <v>1410</v>
      </c>
      <c r="D9" s="20">
        <v>239</v>
      </c>
      <c r="E9" s="20">
        <v>1</v>
      </c>
      <c r="F9" s="20">
        <v>238</v>
      </c>
      <c r="G9" s="20">
        <v>10</v>
      </c>
      <c r="H9" s="20">
        <f t="shared" si="0"/>
        <v>9</v>
      </c>
      <c r="I9" s="37">
        <f t="shared" si="1"/>
        <v>-4.1841004184100415E-3</v>
      </c>
      <c r="J9" s="23">
        <f t="shared" si="2"/>
        <v>4.1841004184100415E-3</v>
      </c>
      <c r="K9" s="23">
        <f t="shared" si="3"/>
        <v>4.2016806722689079E-2</v>
      </c>
    </row>
    <row r="10" spans="1:11" x14ac:dyDescent="0.25">
      <c r="A10" s="19" t="s">
        <v>14</v>
      </c>
      <c r="B10" s="19" t="s">
        <v>15</v>
      </c>
      <c r="C10" s="19">
        <v>2711</v>
      </c>
      <c r="D10" s="19">
        <v>461</v>
      </c>
      <c r="E10" s="19">
        <v>3</v>
      </c>
      <c r="F10" s="19">
        <v>531</v>
      </c>
      <c r="G10" s="19">
        <v>11</v>
      </c>
      <c r="H10" s="19">
        <f t="shared" si="0"/>
        <v>8</v>
      </c>
      <c r="I10" s="36">
        <f t="shared" si="1"/>
        <v>0.15184381778741865</v>
      </c>
      <c r="J10" s="35">
        <f t="shared" si="2"/>
        <v>6.5075921908893707E-3</v>
      </c>
      <c r="K10" s="35">
        <f t="shared" si="3"/>
        <v>2.0715630885122412E-2</v>
      </c>
    </row>
    <row r="11" spans="1:11" x14ac:dyDescent="0.25">
      <c r="A11" s="20" t="s">
        <v>36</v>
      </c>
      <c r="B11" s="20" t="s">
        <v>37</v>
      </c>
      <c r="C11" s="20">
        <v>1213</v>
      </c>
      <c r="D11" s="20">
        <v>259</v>
      </c>
      <c r="E11" s="20">
        <v>4</v>
      </c>
      <c r="F11" s="20">
        <v>269</v>
      </c>
      <c r="G11" s="20">
        <v>11</v>
      </c>
      <c r="H11" s="20">
        <f t="shared" si="0"/>
        <v>7</v>
      </c>
      <c r="I11" s="37">
        <f t="shared" si="1"/>
        <v>3.8610038610038609E-2</v>
      </c>
      <c r="J11" s="23">
        <f t="shared" si="2"/>
        <v>1.5444015444015444E-2</v>
      </c>
      <c r="K11" s="23">
        <f t="shared" si="3"/>
        <v>4.0892193308550186E-2</v>
      </c>
    </row>
    <row r="12" spans="1:11" x14ac:dyDescent="0.25">
      <c r="A12" s="19" t="s">
        <v>28</v>
      </c>
      <c r="B12" s="19" t="s">
        <v>29</v>
      </c>
      <c r="C12" s="19">
        <v>4317</v>
      </c>
      <c r="D12" s="19">
        <v>439</v>
      </c>
      <c r="E12" s="19">
        <v>3</v>
      </c>
      <c r="F12" s="19">
        <v>459</v>
      </c>
      <c r="G12" s="19">
        <v>9</v>
      </c>
      <c r="H12" s="19">
        <f t="shared" si="0"/>
        <v>6</v>
      </c>
      <c r="I12" s="36">
        <f t="shared" si="1"/>
        <v>4.5558086560364468E-2</v>
      </c>
      <c r="J12" s="35">
        <f t="shared" si="2"/>
        <v>6.8337129840546698E-3</v>
      </c>
      <c r="K12" s="35">
        <f t="shared" si="3"/>
        <v>1.9607843137254902E-2</v>
      </c>
    </row>
    <row r="13" spans="1:11" x14ac:dyDescent="0.25">
      <c r="A13" s="20" t="s">
        <v>38</v>
      </c>
      <c r="B13" s="20" t="s">
        <v>39</v>
      </c>
      <c r="C13" s="20">
        <v>1087</v>
      </c>
      <c r="D13" s="20">
        <v>249</v>
      </c>
      <c r="E13" s="20">
        <v>0</v>
      </c>
      <c r="F13" s="20">
        <v>254</v>
      </c>
      <c r="G13" s="20">
        <v>6</v>
      </c>
      <c r="H13" s="20">
        <f t="shared" si="0"/>
        <v>6</v>
      </c>
      <c r="I13" s="37">
        <f t="shared" si="1"/>
        <v>2.0080321285140562E-2</v>
      </c>
      <c r="J13" s="23">
        <f t="shared" si="2"/>
        <v>0</v>
      </c>
      <c r="K13" s="23">
        <f t="shared" si="3"/>
        <v>2.3622047244094488E-2</v>
      </c>
    </row>
    <row r="14" spans="1:11" x14ac:dyDescent="0.25">
      <c r="A14" s="19" t="s">
        <v>42</v>
      </c>
      <c r="B14" s="19" t="s">
        <v>43</v>
      </c>
      <c r="C14" s="19">
        <v>1048</v>
      </c>
      <c r="D14" s="19">
        <v>276</v>
      </c>
      <c r="E14" s="19">
        <v>1</v>
      </c>
      <c r="F14" s="19">
        <v>276</v>
      </c>
      <c r="G14" s="19">
        <v>6</v>
      </c>
      <c r="H14" s="19">
        <f t="shared" si="0"/>
        <v>5</v>
      </c>
      <c r="I14" s="36">
        <f t="shared" si="1"/>
        <v>0</v>
      </c>
      <c r="J14" s="35">
        <f t="shared" si="2"/>
        <v>3.6231884057971015E-3</v>
      </c>
      <c r="K14" s="35">
        <f t="shared" si="3"/>
        <v>2.1739130434782608E-2</v>
      </c>
    </row>
    <row r="15" spans="1:11" x14ac:dyDescent="0.25">
      <c r="A15" s="20" t="s">
        <v>20</v>
      </c>
      <c r="B15" s="20" t="s">
        <v>21</v>
      </c>
      <c r="C15" s="20">
        <v>1868</v>
      </c>
      <c r="D15" s="20">
        <v>211</v>
      </c>
      <c r="E15" s="20">
        <v>3</v>
      </c>
      <c r="F15" s="20">
        <v>211</v>
      </c>
      <c r="G15" s="20">
        <v>7</v>
      </c>
      <c r="H15" s="20">
        <f t="shared" si="0"/>
        <v>4</v>
      </c>
      <c r="I15" s="37">
        <f t="shared" si="1"/>
        <v>0</v>
      </c>
      <c r="J15" s="23">
        <f t="shared" si="2"/>
        <v>1.4218009478672985E-2</v>
      </c>
      <c r="K15" s="23">
        <f t="shared" si="3"/>
        <v>3.3175355450236969E-2</v>
      </c>
    </row>
    <row r="16" spans="1:11" x14ac:dyDescent="0.25">
      <c r="A16" s="19" t="s">
        <v>48</v>
      </c>
      <c r="B16" s="19" t="s">
        <v>49</v>
      </c>
      <c r="C16" s="19">
        <v>796</v>
      </c>
      <c r="D16" s="19">
        <v>296</v>
      </c>
      <c r="E16" s="19">
        <v>6</v>
      </c>
      <c r="F16" s="19">
        <v>294</v>
      </c>
      <c r="G16" s="19">
        <v>10</v>
      </c>
      <c r="H16" s="19">
        <f t="shared" si="0"/>
        <v>4</v>
      </c>
      <c r="I16" s="36">
        <f t="shared" si="1"/>
        <v>-6.7567567567567571E-3</v>
      </c>
      <c r="J16" s="35">
        <f t="shared" si="2"/>
        <v>2.0270270270270271E-2</v>
      </c>
      <c r="K16" s="35">
        <f t="shared" si="3"/>
        <v>3.4013605442176874E-2</v>
      </c>
    </row>
    <row r="17" spans="1:11" x14ac:dyDescent="0.25">
      <c r="A17" s="20" t="s">
        <v>16</v>
      </c>
      <c r="B17" s="20" t="s">
        <v>17</v>
      </c>
      <c r="C17" s="20">
        <v>4005</v>
      </c>
      <c r="D17" s="20">
        <v>501</v>
      </c>
      <c r="E17" s="20">
        <v>7</v>
      </c>
      <c r="F17" s="20">
        <v>431</v>
      </c>
      <c r="G17" s="20">
        <v>9</v>
      </c>
      <c r="H17" s="20">
        <f t="shared" si="0"/>
        <v>2</v>
      </c>
      <c r="I17" s="37">
        <f t="shared" si="1"/>
        <v>-0.13972055888223553</v>
      </c>
      <c r="J17" s="23">
        <f t="shared" si="2"/>
        <v>1.3972055888223553E-2</v>
      </c>
      <c r="K17" s="23">
        <f t="shared" si="3"/>
        <v>2.0881670533642691E-2</v>
      </c>
    </row>
    <row r="18" spans="1:11" x14ac:dyDescent="0.25">
      <c r="A18" s="19" t="s">
        <v>22</v>
      </c>
      <c r="B18" s="19" t="s">
        <v>23</v>
      </c>
      <c r="C18" s="19">
        <v>1566</v>
      </c>
      <c r="D18" s="19">
        <v>352</v>
      </c>
      <c r="E18" s="19">
        <v>10</v>
      </c>
      <c r="F18" s="19">
        <v>341</v>
      </c>
      <c r="G18" s="19">
        <v>12</v>
      </c>
      <c r="H18" s="19">
        <f t="shared" si="0"/>
        <v>2</v>
      </c>
      <c r="I18" s="36">
        <f t="shared" si="1"/>
        <v>-3.125E-2</v>
      </c>
      <c r="J18" s="35">
        <f t="shared" si="2"/>
        <v>2.8409090909090908E-2</v>
      </c>
      <c r="K18" s="35">
        <f t="shared" si="3"/>
        <v>3.519061583577713E-2</v>
      </c>
    </row>
    <row r="19" spans="1:11" x14ac:dyDescent="0.25">
      <c r="A19" s="20" t="s">
        <v>44</v>
      </c>
      <c r="B19" s="20" t="s">
        <v>45</v>
      </c>
      <c r="C19" s="20">
        <v>1659</v>
      </c>
      <c r="D19" s="20">
        <v>196</v>
      </c>
      <c r="E19" s="20">
        <v>5</v>
      </c>
      <c r="F19" s="20">
        <v>195</v>
      </c>
      <c r="G19" s="20">
        <v>7</v>
      </c>
      <c r="H19" s="20">
        <f t="shared" si="0"/>
        <v>2</v>
      </c>
      <c r="I19" s="37">
        <f t="shared" si="1"/>
        <v>-5.1020408163265302E-3</v>
      </c>
      <c r="J19" s="23">
        <f t="shared" si="2"/>
        <v>2.5510204081632654E-2</v>
      </c>
      <c r="K19" s="23">
        <f t="shared" si="3"/>
        <v>3.5897435897435895E-2</v>
      </c>
    </row>
    <row r="20" spans="1:11" x14ac:dyDescent="0.25">
      <c r="A20" s="19" t="s">
        <v>50</v>
      </c>
      <c r="B20" s="19" t="s">
        <v>51</v>
      </c>
      <c r="C20" s="19">
        <v>940</v>
      </c>
      <c r="D20" s="19">
        <v>286</v>
      </c>
      <c r="E20" s="19">
        <v>3</v>
      </c>
      <c r="F20" s="19">
        <v>329</v>
      </c>
      <c r="G20" s="19">
        <v>5</v>
      </c>
      <c r="H20" s="19">
        <f t="shared" si="0"/>
        <v>2</v>
      </c>
      <c r="I20" s="36">
        <f t="shared" si="1"/>
        <v>0.15034965034965034</v>
      </c>
      <c r="J20" s="35">
        <f t="shared" si="2"/>
        <v>1.048951048951049E-2</v>
      </c>
      <c r="K20" s="35">
        <f t="shared" si="3"/>
        <v>1.5197568389057751E-2</v>
      </c>
    </row>
    <row r="21" spans="1:11" x14ac:dyDescent="0.25">
      <c r="A21" s="20" t="s">
        <v>56</v>
      </c>
      <c r="B21" s="20" t="s">
        <v>57</v>
      </c>
      <c r="C21" s="20">
        <v>312</v>
      </c>
      <c r="D21" s="20">
        <v>245</v>
      </c>
      <c r="E21" s="20">
        <v>1</v>
      </c>
      <c r="F21" s="20">
        <v>308</v>
      </c>
      <c r="G21" s="20">
        <v>2</v>
      </c>
      <c r="H21" s="20">
        <f t="shared" si="0"/>
        <v>1</v>
      </c>
      <c r="I21" s="37">
        <f t="shared" si="1"/>
        <v>0.25714285714285712</v>
      </c>
      <c r="J21" s="23">
        <f t="shared" si="2"/>
        <v>4.0816326530612249E-3</v>
      </c>
      <c r="K21" s="23">
        <f t="shared" si="3"/>
        <v>6.4935064935064939E-3</v>
      </c>
    </row>
    <row r="22" spans="1:11" x14ac:dyDescent="0.25">
      <c r="A22" s="19" t="s">
        <v>18</v>
      </c>
      <c r="B22" s="19" t="s">
        <v>19</v>
      </c>
      <c r="C22" s="19">
        <v>2529</v>
      </c>
      <c r="D22" s="19">
        <v>400</v>
      </c>
      <c r="E22" s="19">
        <v>6</v>
      </c>
      <c r="F22" s="19">
        <v>427</v>
      </c>
      <c r="G22" s="19">
        <v>6</v>
      </c>
      <c r="H22" s="19">
        <f t="shared" si="0"/>
        <v>0</v>
      </c>
      <c r="I22" s="36">
        <f t="shared" si="1"/>
        <v>6.7500000000000004E-2</v>
      </c>
      <c r="J22" s="35">
        <f t="shared" si="2"/>
        <v>1.4999999999999999E-2</v>
      </c>
      <c r="K22" s="35">
        <f t="shared" si="3"/>
        <v>1.405152224824356E-2</v>
      </c>
    </row>
    <row r="23" spans="1:11" x14ac:dyDescent="0.25">
      <c r="A23" s="20" t="s">
        <v>30</v>
      </c>
      <c r="B23" s="20" t="s">
        <v>31</v>
      </c>
      <c r="C23" s="20">
        <v>944</v>
      </c>
      <c r="D23" s="20">
        <v>98</v>
      </c>
      <c r="E23" s="20">
        <v>0</v>
      </c>
      <c r="F23" s="20">
        <v>101</v>
      </c>
      <c r="G23" s="20">
        <v>0</v>
      </c>
      <c r="H23" s="20">
        <f t="shared" si="0"/>
        <v>0</v>
      </c>
      <c r="I23" s="37">
        <f t="shared" si="1"/>
        <v>3.0612244897959183E-2</v>
      </c>
      <c r="J23" s="23">
        <f t="shared" si="2"/>
        <v>0</v>
      </c>
      <c r="K23" s="23">
        <f t="shared" si="3"/>
        <v>0</v>
      </c>
    </row>
    <row r="24" spans="1:11" x14ac:dyDescent="0.25">
      <c r="A24" s="19" t="s">
        <v>46</v>
      </c>
      <c r="B24" s="19" t="s">
        <v>47</v>
      </c>
      <c r="C24" s="19">
        <v>683</v>
      </c>
      <c r="D24" s="19">
        <v>123</v>
      </c>
      <c r="E24" s="19">
        <v>0</v>
      </c>
      <c r="F24" s="19">
        <v>124</v>
      </c>
      <c r="G24" s="19">
        <v>0</v>
      </c>
      <c r="H24" s="19">
        <f t="shared" si="0"/>
        <v>0</v>
      </c>
      <c r="I24" s="36">
        <f t="shared" si="1"/>
        <v>8.130081300813009E-3</v>
      </c>
      <c r="J24" s="35">
        <f t="shared" si="2"/>
        <v>0</v>
      </c>
      <c r="K24" s="35">
        <f t="shared" si="3"/>
        <v>0</v>
      </c>
    </row>
    <row r="25" spans="1:11" x14ac:dyDescent="0.25">
      <c r="A25" s="20" t="s">
        <v>52</v>
      </c>
      <c r="B25" s="20" t="s">
        <v>53</v>
      </c>
      <c r="C25" s="20">
        <v>802</v>
      </c>
      <c r="D25" s="20">
        <v>0</v>
      </c>
      <c r="E25" s="20">
        <v>0</v>
      </c>
      <c r="F25" s="20">
        <v>0</v>
      </c>
      <c r="G25" s="20">
        <v>0</v>
      </c>
      <c r="H25" s="20">
        <f t="shared" si="0"/>
        <v>0</v>
      </c>
      <c r="I25" s="37">
        <f t="shared" si="1"/>
        <v>0</v>
      </c>
      <c r="J25" s="23">
        <f t="shared" si="2"/>
        <v>0</v>
      </c>
      <c r="K25" s="23">
        <f t="shared" si="3"/>
        <v>0</v>
      </c>
    </row>
    <row r="26" spans="1:11" x14ac:dyDescent="0.25">
      <c r="A26" s="19" t="s">
        <v>54</v>
      </c>
      <c r="B26" s="19" t="s">
        <v>55</v>
      </c>
      <c r="C26" s="19">
        <v>949</v>
      </c>
      <c r="D26" s="19">
        <v>113</v>
      </c>
      <c r="E26" s="19">
        <v>1</v>
      </c>
      <c r="F26" s="19">
        <v>136</v>
      </c>
      <c r="G26" s="19">
        <v>1</v>
      </c>
      <c r="H26" s="19">
        <f t="shared" si="0"/>
        <v>0</v>
      </c>
      <c r="I26" s="36">
        <f t="shared" si="1"/>
        <v>0.20353982300884957</v>
      </c>
      <c r="J26" s="35">
        <f t="shared" si="2"/>
        <v>8.8495575221238937E-3</v>
      </c>
      <c r="K26" s="35">
        <f t="shared" si="3"/>
        <v>7.3529411764705881E-3</v>
      </c>
    </row>
    <row r="27" spans="1:11" x14ac:dyDescent="0.25">
      <c r="A27" s="20" t="s">
        <v>52</v>
      </c>
      <c r="B27" s="20" t="s">
        <v>58</v>
      </c>
      <c r="C27" s="20">
        <v>652</v>
      </c>
      <c r="D27" s="20">
        <v>0</v>
      </c>
      <c r="E27" s="20">
        <v>0</v>
      </c>
      <c r="F27" s="20">
        <v>0</v>
      </c>
      <c r="G27" s="20">
        <v>0</v>
      </c>
      <c r="H27" s="20">
        <f t="shared" si="0"/>
        <v>0</v>
      </c>
      <c r="I27" s="37">
        <f t="shared" si="1"/>
        <v>0</v>
      </c>
      <c r="J27" s="23">
        <f t="shared" si="2"/>
        <v>0</v>
      </c>
      <c r="K27" s="23">
        <f t="shared" si="3"/>
        <v>0</v>
      </c>
    </row>
    <row r="28" spans="1:11" x14ac:dyDescent="0.25">
      <c r="A28" s="19" t="s">
        <v>52</v>
      </c>
      <c r="B28" s="19" t="s">
        <v>59</v>
      </c>
      <c r="C28" s="19">
        <v>219</v>
      </c>
      <c r="D28" s="19">
        <v>0</v>
      </c>
      <c r="E28" s="19">
        <v>0</v>
      </c>
      <c r="F28" s="19">
        <v>0</v>
      </c>
      <c r="G28" s="19">
        <v>0</v>
      </c>
      <c r="H28" s="19">
        <f t="shared" si="0"/>
        <v>0</v>
      </c>
      <c r="I28" s="36">
        <f t="shared" si="1"/>
        <v>0</v>
      </c>
      <c r="J28" s="35">
        <f t="shared" si="2"/>
        <v>0</v>
      </c>
      <c r="K28" s="35">
        <f t="shared" si="3"/>
        <v>0</v>
      </c>
    </row>
    <row r="29" spans="1:11" x14ac:dyDescent="0.25">
      <c r="A29" s="20" t="s">
        <v>60</v>
      </c>
      <c r="B29" s="20" t="s">
        <v>61</v>
      </c>
      <c r="C29" s="20">
        <v>282</v>
      </c>
      <c r="D29" s="20">
        <v>174</v>
      </c>
      <c r="E29" s="20">
        <v>0</v>
      </c>
      <c r="F29" s="20">
        <v>191</v>
      </c>
      <c r="G29" s="20">
        <v>0</v>
      </c>
      <c r="H29" s="20">
        <f t="shared" si="0"/>
        <v>0</v>
      </c>
      <c r="I29" s="37">
        <f t="shared" si="1"/>
        <v>9.7701149425287362E-2</v>
      </c>
      <c r="J29" s="23">
        <f t="shared" si="2"/>
        <v>0</v>
      </c>
      <c r="K29" s="23">
        <f t="shared" si="3"/>
        <v>0</v>
      </c>
    </row>
    <row r="30" spans="1:11" x14ac:dyDescent="0.25">
      <c r="A30" s="19" t="s">
        <v>62</v>
      </c>
      <c r="B30" s="19" t="s">
        <v>63</v>
      </c>
      <c r="C30" s="19">
        <v>266</v>
      </c>
      <c r="D30" s="19">
        <v>92</v>
      </c>
      <c r="E30" s="19">
        <v>0</v>
      </c>
      <c r="F30" s="19">
        <v>99</v>
      </c>
      <c r="G30" s="19">
        <v>0</v>
      </c>
      <c r="H30" s="19">
        <f t="shared" si="0"/>
        <v>0</v>
      </c>
      <c r="I30" s="36">
        <f t="shared" si="1"/>
        <v>7.6086956521739135E-2</v>
      </c>
      <c r="J30" s="35">
        <f t="shared" si="2"/>
        <v>0</v>
      </c>
      <c r="K30" s="35">
        <f t="shared" si="3"/>
        <v>0</v>
      </c>
    </row>
    <row r="31" spans="1:11" x14ac:dyDescent="0.25">
      <c r="A31" s="20" t="s">
        <v>52</v>
      </c>
      <c r="B31" s="20" t="s">
        <v>64</v>
      </c>
      <c r="C31" s="20">
        <v>75</v>
      </c>
      <c r="D31" s="20">
        <v>0</v>
      </c>
      <c r="E31" s="20">
        <v>0</v>
      </c>
      <c r="F31" s="20">
        <v>0</v>
      </c>
      <c r="G31" s="20">
        <v>0</v>
      </c>
      <c r="H31" s="20">
        <f t="shared" si="0"/>
        <v>0</v>
      </c>
      <c r="I31" s="37">
        <f t="shared" si="1"/>
        <v>0</v>
      </c>
      <c r="J31" s="23">
        <f t="shared" si="2"/>
        <v>0</v>
      </c>
      <c r="K31" s="23">
        <f t="shared" si="3"/>
        <v>0</v>
      </c>
    </row>
    <row r="32" spans="1:11" x14ac:dyDescent="0.25">
      <c r="A32" s="19" t="s">
        <v>65</v>
      </c>
      <c r="B32" s="19" t="s">
        <v>66</v>
      </c>
      <c r="C32" s="19">
        <v>269</v>
      </c>
      <c r="D32" s="19">
        <v>43</v>
      </c>
      <c r="E32" s="19">
        <v>0</v>
      </c>
      <c r="F32" s="19">
        <v>79</v>
      </c>
      <c r="G32" s="19">
        <v>0</v>
      </c>
      <c r="H32" s="19">
        <f t="shared" si="0"/>
        <v>0</v>
      </c>
      <c r="I32" s="36">
        <f t="shared" si="1"/>
        <v>0.83720930232558144</v>
      </c>
      <c r="J32" s="35">
        <f t="shared" si="2"/>
        <v>0</v>
      </c>
      <c r="K32" s="35">
        <f t="shared" si="3"/>
        <v>0</v>
      </c>
    </row>
    <row r="33" spans="1:11" x14ac:dyDescent="0.25">
      <c r="A33" s="20" t="s">
        <v>67</v>
      </c>
      <c r="B33" s="20" t="s">
        <v>68</v>
      </c>
      <c r="C33" s="20">
        <v>93</v>
      </c>
      <c r="D33" s="20">
        <v>6</v>
      </c>
      <c r="E33" s="20">
        <v>0</v>
      </c>
      <c r="F33" s="20">
        <v>26</v>
      </c>
      <c r="G33" s="20">
        <v>0</v>
      </c>
      <c r="H33" s="20">
        <f t="shared" si="0"/>
        <v>0</v>
      </c>
      <c r="I33" s="37">
        <f t="shared" si="1"/>
        <v>3.3333333333333335</v>
      </c>
      <c r="J33" s="23">
        <f t="shared" si="2"/>
        <v>0</v>
      </c>
      <c r="K33" s="23">
        <f t="shared" si="3"/>
        <v>0</v>
      </c>
    </row>
    <row r="34" spans="1:11" x14ac:dyDescent="0.25">
      <c r="A34" s="19" t="s">
        <v>52</v>
      </c>
      <c r="B34" s="19" t="s">
        <v>69</v>
      </c>
      <c r="C34" s="19">
        <v>122</v>
      </c>
      <c r="D34" s="19">
        <v>0</v>
      </c>
      <c r="E34" s="19">
        <v>0</v>
      </c>
      <c r="F34" s="19">
        <v>0</v>
      </c>
      <c r="G34" s="19">
        <v>0</v>
      </c>
      <c r="H34" s="19">
        <f t="shared" si="0"/>
        <v>0</v>
      </c>
      <c r="I34" s="36">
        <f t="shared" si="1"/>
        <v>0</v>
      </c>
      <c r="J34" s="35">
        <f t="shared" si="2"/>
        <v>0</v>
      </c>
      <c r="K34" s="35">
        <f t="shared" si="3"/>
        <v>0</v>
      </c>
    </row>
    <row r="35" spans="1:11" x14ac:dyDescent="0.25">
      <c r="A35" s="20" t="s">
        <v>52</v>
      </c>
      <c r="B35" s="20" t="s">
        <v>70</v>
      </c>
      <c r="C35" s="20">
        <v>77</v>
      </c>
      <c r="D35" s="20">
        <v>0</v>
      </c>
      <c r="E35" s="20">
        <v>0</v>
      </c>
      <c r="F35" s="20">
        <v>0</v>
      </c>
      <c r="G35" s="20">
        <v>0</v>
      </c>
      <c r="H35" s="20">
        <f t="shared" si="0"/>
        <v>0</v>
      </c>
      <c r="I35" s="37">
        <f t="shared" si="1"/>
        <v>0</v>
      </c>
      <c r="J35" s="23">
        <f t="shared" si="2"/>
        <v>0</v>
      </c>
      <c r="K35" s="23">
        <f t="shared" si="3"/>
        <v>0</v>
      </c>
    </row>
    <row r="36" spans="1:11" x14ac:dyDescent="0.25">
      <c r="A36" s="19" t="s">
        <v>52</v>
      </c>
      <c r="B36" s="19" t="s">
        <v>71</v>
      </c>
      <c r="C36" s="19">
        <v>84</v>
      </c>
      <c r="D36" s="19">
        <v>0</v>
      </c>
      <c r="E36" s="19">
        <v>0</v>
      </c>
      <c r="F36" s="19">
        <v>0</v>
      </c>
      <c r="G36" s="19">
        <v>0</v>
      </c>
      <c r="H36" s="19">
        <f t="shared" si="0"/>
        <v>0</v>
      </c>
      <c r="I36" s="36">
        <f t="shared" si="1"/>
        <v>0</v>
      </c>
      <c r="J36" s="35">
        <f t="shared" si="2"/>
        <v>0</v>
      </c>
      <c r="K36" s="35">
        <f t="shared" si="3"/>
        <v>0</v>
      </c>
    </row>
    <row r="37" spans="1:11" x14ac:dyDescent="0.25">
      <c r="A37" s="20" t="s">
        <v>52</v>
      </c>
      <c r="B37" s="20" t="s">
        <v>72</v>
      </c>
      <c r="C37" s="20">
        <v>134</v>
      </c>
      <c r="D37" s="20">
        <v>0</v>
      </c>
      <c r="E37" s="20">
        <v>0</v>
      </c>
      <c r="F37" s="20">
        <v>0</v>
      </c>
      <c r="G37" s="20">
        <v>0</v>
      </c>
      <c r="H37" s="20">
        <f t="shared" si="0"/>
        <v>0</v>
      </c>
      <c r="I37" s="37">
        <f t="shared" si="1"/>
        <v>0</v>
      </c>
      <c r="J37" s="23">
        <f t="shared" si="2"/>
        <v>0</v>
      </c>
      <c r="K37" s="23">
        <f t="shared" si="3"/>
        <v>0</v>
      </c>
    </row>
    <row r="38" spans="1:11" x14ac:dyDescent="0.25">
      <c r="A38" s="19" t="s">
        <v>52</v>
      </c>
      <c r="B38" s="19" t="s">
        <v>73</v>
      </c>
      <c r="C38" s="19">
        <v>35</v>
      </c>
      <c r="D38" s="19">
        <v>0</v>
      </c>
      <c r="E38" s="19">
        <v>0</v>
      </c>
      <c r="F38" s="19">
        <v>0</v>
      </c>
      <c r="G38" s="19">
        <v>0</v>
      </c>
      <c r="H38" s="19">
        <f t="shared" si="0"/>
        <v>0</v>
      </c>
      <c r="I38" s="36">
        <f t="shared" si="1"/>
        <v>0</v>
      </c>
      <c r="J38" s="35">
        <f t="shared" si="2"/>
        <v>0</v>
      </c>
      <c r="K38" s="35">
        <f t="shared" si="3"/>
        <v>0</v>
      </c>
    </row>
    <row r="39" spans="1:11" x14ac:dyDescent="0.25">
      <c r="A39" s="20" t="s">
        <v>32</v>
      </c>
      <c r="B39" s="20" t="s">
        <v>33</v>
      </c>
      <c r="C39" s="20">
        <v>2085</v>
      </c>
      <c r="D39" s="20">
        <v>333</v>
      </c>
      <c r="E39" s="20">
        <v>1</v>
      </c>
      <c r="F39" s="20">
        <v>346</v>
      </c>
      <c r="G39" s="20">
        <v>0</v>
      </c>
      <c r="H39" s="20">
        <f t="shared" si="0"/>
        <v>-1</v>
      </c>
      <c r="I39" s="37">
        <f t="shared" si="1"/>
        <v>3.903903903903904E-2</v>
      </c>
      <c r="J39" s="23">
        <f t="shared" si="2"/>
        <v>3.003003003003003E-3</v>
      </c>
      <c r="K39" s="23">
        <f t="shared" si="3"/>
        <v>0</v>
      </c>
    </row>
    <row r="40" spans="1:11" x14ac:dyDescent="0.25">
      <c r="A40" s="19" t="s">
        <v>34</v>
      </c>
      <c r="B40" s="19" t="s">
        <v>35</v>
      </c>
      <c r="C40" s="19">
        <v>1167</v>
      </c>
      <c r="D40" s="19">
        <v>249</v>
      </c>
      <c r="E40" s="19">
        <v>12</v>
      </c>
      <c r="F40" s="19">
        <v>257</v>
      </c>
      <c r="G40" s="19">
        <v>6</v>
      </c>
      <c r="H40" s="19">
        <f t="shared" si="0"/>
        <v>-6</v>
      </c>
      <c r="I40" s="36">
        <f t="shared" si="1"/>
        <v>3.2128514056224897E-2</v>
      </c>
      <c r="J40" s="35">
        <f t="shared" si="2"/>
        <v>4.8192771084337352E-2</v>
      </c>
      <c r="K40" s="35">
        <f t="shared" si="3"/>
        <v>2.3346303501945526E-2</v>
      </c>
    </row>
    <row r="41" spans="1:11" ht="15.75" x14ac:dyDescent="0.25">
      <c r="A41" s="22"/>
      <c r="B41" s="22" t="s">
        <v>74</v>
      </c>
      <c r="C41" s="27">
        <v>77712</v>
      </c>
      <c r="D41" s="27">
        <v>12888</v>
      </c>
      <c r="E41" s="27">
        <v>175</v>
      </c>
      <c r="F41" s="22">
        <v>13169</v>
      </c>
      <c r="G41" s="22">
        <v>407</v>
      </c>
      <c r="H41" s="22">
        <f>F41-D41</f>
        <v>281</v>
      </c>
      <c r="I41" s="38">
        <f>(F41-D41)/D41</f>
        <v>2.1803227808814402E-2</v>
      </c>
      <c r="J41" s="68">
        <f t="shared" si="2"/>
        <v>1.3578522656734947E-2</v>
      </c>
      <c r="K41" s="68">
        <f t="shared" si="3"/>
        <v>3.0905915407396158E-2</v>
      </c>
    </row>
    <row r="50" spans="3:5" x14ac:dyDescent="0.25">
      <c r="C50" s="8"/>
      <c r="D50" s="8"/>
      <c r="E50" s="8"/>
    </row>
    <row r="51" spans="3:5" x14ac:dyDescent="0.25">
      <c r="C51" s="8"/>
      <c r="D51" s="8"/>
      <c r="E51" s="8"/>
    </row>
  </sheetData>
  <autoFilter ref="A2:K2" xr:uid="{BA1AE1EF-C2AD-445B-B4B0-EAC0B347C5C3}">
    <sortState xmlns:xlrd2="http://schemas.microsoft.com/office/spreadsheetml/2017/richdata2" ref="A3:K41">
      <sortCondition descending="1" ref="H2"/>
    </sortState>
  </autoFilter>
  <mergeCells count="3">
    <mergeCell ref="D1:E1"/>
    <mergeCell ref="F1:G1"/>
    <mergeCell ref="H1:K1"/>
  </mergeCells>
  <conditionalFormatting sqref="I3:I40">
    <cfRule type="cellIs" dxfId="38" priority="2" operator="lessThan">
      <formula>$I$40</formula>
    </cfRule>
    <cfRule type="cellIs" dxfId="37" priority="5" operator="lessThan">
      <formula>$I$39</formula>
    </cfRule>
  </conditionalFormatting>
  <conditionalFormatting sqref="J3:J41">
    <cfRule type="cellIs" dxfId="36" priority="4" operator="lessThan">
      <formula>$J$39</formula>
    </cfRule>
  </conditionalFormatting>
  <conditionalFormatting sqref="K3:K40">
    <cfRule type="cellIs" dxfId="35" priority="1" operator="lessThan">
      <formula>$K$41</formula>
    </cfRule>
  </conditionalFormatting>
  <conditionalFormatting sqref="K3:K41">
    <cfRule type="cellIs" dxfId="34" priority="3" operator="lessThan">
      <formula>$K$39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83107-F1F9-4EEE-B07F-B122A893B9F4}">
  <dimension ref="A1:K51"/>
  <sheetViews>
    <sheetView showGridLines="0" zoomScale="84" workbookViewId="0">
      <selection activeCell="G2" sqref="F1:G1048576"/>
    </sheetView>
  </sheetViews>
  <sheetFormatPr defaultRowHeight="15" x14ac:dyDescent="0.25"/>
  <cols>
    <col min="1" max="2" width="19.28515625" style="7" customWidth="1"/>
    <col min="3" max="3" width="14.42578125" style="7" bestFit="1" customWidth="1"/>
    <col min="4" max="4" width="29.140625" style="7" bestFit="1" customWidth="1"/>
    <col min="5" max="5" width="19.42578125" style="7" bestFit="1" customWidth="1"/>
    <col min="6" max="6" width="17.7109375" bestFit="1" customWidth="1"/>
    <col min="7" max="7" width="18.7109375" bestFit="1" customWidth="1"/>
    <col min="8" max="8" width="19.42578125" bestFit="1" customWidth="1"/>
    <col min="9" max="9" width="15.42578125" style="69" bestFit="1" customWidth="1"/>
    <col min="10" max="10" width="47.140625" bestFit="1" customWidth="1"/>
    <col min="11" max="11" width="44.85546875" bestFit="1" customWidth="1"/>
    <col min="12" max="73" width="8.7109375" bestFit="1" customWidth="1"/>
  </cols>
  <sheetData>
    <row r="1" spans="1:11" ht="18.75" x14ac:dyDescent="0.3">
      <c r="A1" s="56"/>
      <c r="B1" s="56"/>
      <c r="C1" s="54"/>
      <c r="D1" s="96" t="s">
        <v>137</v>
      </c>
      <c r="E1" s="96"/>
      <c r="F1" s="97" t="s">
        <v>140</v>
      </c>
      <c r="G1" s="97"/>
      <c r="H1" s="98" t="s">
        <v>145</v>
      </c>
      <c r="I1" s="98"/>
      <c r="J1" s="98"/>
      <c r="K1" s="98"/>
    </row>
    <row r="2" spans="1:11" ht="18.75" x14ac:dyDescent="0.3">
      <c r="A2" s="54" t="s">
        <v>0</v>
      </c>
      <c r="B2" s="54" t="s">
        <v>1</v>
      </c>
      <c r="C2" s="54" t="s">
        <v>4</v>
      </c>
      <c r="D2" s="54" t="s">
        <v>138</v>
      </c>
      <c r="E2" s="54" t="s">
        <v>123</v>
      </c>
      <c r="F2" s="82" t="s">
        <v>121</v>
      </c>
      <c r="G2" s="82" t="s">
        <v>123</v>
      </c>
      <c r="H2" s="9" t="s">
        <v>97</v>
      </c>
      <c r="I2" s="63" t="s">
        <v>87</v>
      </c>
      <c r="J2" s="9" t="s">
        <v>148</v>
      </c>
      <c r="K2" s="9" t="s">
        <v>149</v>
      </c>
    </row>
    <row r="3" spans="1:11" x14ac:dyDescent="0.25">
      <c r="A3" s="20" t="s">
        <v>6</v>
      </c>
      <c r="B3" s="20" t="s">
        <v>7</v>
      </c>
      <c r="C3" s="20">
        <v>21396</v>
      </c>
      <c r="D3" s="20">
        <v>4168</v>
      </c>
      <c r="E3" s="20">
        <v>579</v>
      </c>
      <c r="F3" s="20">
        <v>4216</v>
      </c>
      <c r="G3" s="20">
        <v>832</v>
      </c>
      <c r="H3" s="20">
        <f t="shared" ref="H3:H40" si="0">G3-E3</f>
        <v>253</v>
      </c>
      <c r="I3" s="37">
        <f t="shared" ref="I3:I40" si="1">IFERROR((F3-D3)/D3,0)</f>
        <v>1.1516314779270634E-2</v>
      </c>
      <c r="J3" s="23">
        <f t="shared" ref="J3:J41" si="2">IFERROR(E3/D3,0)</f>
        <v>0.13891554702495201</v>
      </c>
      <c r="K3" s="23">
        <f t="shared" ref="K3:K41" si="3">IFERROR(G3/F3,0)</f>
        <v>0.19734345351043645</v>
      </c>
    </row>
    <row r="4" spans="1:11" x14ac:dyDescent="0.25">
      <c r="A4" s="19" t="s">
        <v>12</v>
      </c>
      <c r="B4" s="19" t="s">
        <v>13</v>
      </c>
      <c r="C4" s="19">
        <v>4172</v>
      </c>
      <c r="D4" s="19">
        <v>701</v>
      </c>
      <c r="E4" s="19">
        <v>134</v>
      </c>
      <c r="F4" s="19">
        <v>698</v>
      </c>
      <c r="G4" s="19">
        <v>191</v>
      </c>
      <c r="H4" s="19">
        <f t="shared" si="0"/>
        <v>57</v>
      </c>
      <c r="I4" s="36">
        <f t="shared" si="1"/>
        <v>-4.2796005706134095E-3</v>
      </c>
      <c r="J4" s="35">
        <f t="shared" si="2"/>
        <v>0.19115549215406563</v>
      </c>
      <c r="K4" s="35">
        <f t="shared" si="3"/>
        <v>0.27363896848137537</v>
      </c>
    </row>
    <row r="5" spans="1:11" x14ac:dyDescent="0.25">
      <c r="A5" s="20" t="s">
        <v>10</v>
      </c>
      <c r="B5" s="20" t="s">
        <v>11</v>
      </c>
      <c r="C5" s="20">
        <v>6371</v>
      </c>
      <c r="D5" s="20">
        <v>729</v>
      </c>
      <c r="E5" s="20">
        <v>224</v>
      </c>
      <c r="F5" s="20">
        <v>726</v>
      </c>
      <c r="G5" s="20">
        <v>267</v>
      </c>
      <c r="H5" s="20">
        <f t="shared" si="0"/>
        <v>43</v>
      </c>
      <c r="I5" s="37">
        <f t="shared" si="1"/>
        <v>-4.11522633744856E-3</v>
      </c>
      <c r="J5" s="23">
        <f t="shared" si="2"/>
        <v>0.30727023319615915</v>
      </c>
      <c r="K5" s="23">
        <f t="shared" si="3"/>
        <v>0.36776859504132231</v>
      </c>
    </row>
    <row r="6" spans="1:11" x14ac:dyDescent="0.25">
      <c r="A6" s="19" t="s">
        <v>14</v>
      </c>
      <c r="B6" s="19" t="s">
        <v>15</v>
      </c>
      <c r="C6" s="19">
        <v>2711</v>
      </c>
      <c r="D6" s="19">
        <v>461</v>
      </c>
      <c r="E6" s="19">
        <v>132</v>
      </c>
      <c r="F6" s="19">
        <v>531</v>
      </c>
      <c r="G6" s="19">
        <v>170</v>
      </c>
      <c r="H6" s="19">
        <f t="shared" si="0"/>
        <v>38</v>
      </c>
      <c r="I6" s="36">
        <f t="shared" si="1"/>
        <v>0.15184381778741865</v>
      </c>
      <c r="J6" s="35">
        <f t="shared" si="2"/>
        <v>0.28633405639913234</v>
      </c>
      <c r="K6" s="35">
        <f t="shared" si="3"/>
        <v>0.32015065913370999</v>
      </c>
    </row>
    <row r="7" spans="1:11" x14ac:dyDescent="0.25">
      <c r="A7" s="20" t="s">
        <v>42</v>
      </c>
      <c r="B7" s="20" t="s">
        <v>43</v>
      </c>
      <c r="C7" s="20">
        <v>1048</v>
      </c>
      <c r="D7" s="20">
        <v>276</v>
      </c>
      <c r="E7" s="20">
        <v>53</v>
      </c>
      <c r="F7" s="20">
        <v>276</v>
      </c>
      <c r="G7" s="20">
        <v>90</v>
      </c>
      <c r="H7" s="20">
        <f t="shared" si="0"/>
        <v>37</v>
      </c>
      <c r="I7" s="37">
        <f t="shared" si="1"/>
        <v>0</v>
      </c>
      <c r="J7" s="23">
        <f t="shared" si="2"/>
        <v>0.19202898550724637</v>
      </c>
      <c r="K7" s="23">
        <f t="shared" si="3"/>
        <v>0.32608695652173914</v>
      </c>
    </row>
    <row r="8" spans="1:11" x14ac:dyDescent="0.25">
      <c r="A8" s="19" t="s">
        <v>28</v>
      </c>
      <c r="B8" s="19" t="s">
        <v>29</v>
      </c>
      <c r="C8" s="19">
        <v>4317</v>
      </c>
      <c r="D8" s="19">
        <v>439</v>
      </c>
      <c r="E8" s="19">
        <v>126</v>
      </c>
      <c r="F8" s="19">
        <v>459</v>
      </c>
      <c r="G8" s="19">
        <v>157</v>
      </c>
      <c r="H8" s="19">
        <f t="shared" si="0"/>
        <v>31</v>
      </c>
      <c r="I8" s="36">
        <f t="shared" si="1"/>
        <v>4.5558086560364468E-2</v>
      </c>
      <c r="J8" s="35">
        <f t="shared" si="2"/>
        <v>0.28701594533029612</v>
      </c>
      <c r="K8" s="35">
        <f t="shared" si="3"/>
        <v>0.34204793028322439</v>
      </c>
    </row>
    <row r="9" spans="1:11" x14ac:dyDescent="0.25">
      <c r="A9" s="20" t="s">
        <v>24</v>
      </c>
      <c r="B9" s="20" t="s">
        <v>25</v>
      </c>
      <c r="C9" s="20">
        <v>2381</v>
      </c>
      <c r="D9" s="20">
        <v>347</v>
      </c>
      <c r="E9" s="20">
        <v>65</v>
      </c>
      <c r="F9" s="20">
        <v>349</v>
      </c>
      <c r="G9" s="20">
        <v>94</v>
      </c>
      <c r="H9" s="20">
        <f t="shared" si="0"/>
        <v>29</v>
      </c>
      <c r="I9" s="37">
        <f t="shared" si="1"/>
        <v>5.763688760806916E-3</v>
      </c>
      <c r="J9" s="23">
        <f t="shared" si="2"/>
        <v>0.18731988472622479</v>
      </c>
      <c r="K9" s="23">
        <f t="shared" si="3"/>
        <v>0.2693409742120344</v>
      </c>
    </row>
    <row r="10" spans="1:11" x14ac:dyDescent="0.25">
      <c r="A10" s="19" t="s">
        <v>26</v>
      </c>
      <c r="B10" s="19" t="s">
        <v>27</v>
      </c>
      <c r="C10" s="19">
        <v>1874</v>
      </c>
      <c r="D10" s="19">
        <v>357</v>
      </c>
      <c r="E10" s="19">
        <v>114</v>
      </c>
      <c r="F10" s="19">
        <v>353</v>
      </c>
      <c r="G10" s="19">
        <v>140</v>
      </c>
      <c r="H10" s="19">
        <f t="shared" si="0"/>
        <v>26</v>
      </c>
      <c r="I10" s="36">
        <f t="shared" si="1"/>
        <v>-1.1204481792717087E-2</v>
      </c>
      <c r="J10" s="35">
        <f t="shared" si="2"/>
        <v>0.31932773109243695</v>
      </c>
      <c r="K10" s="35">
        <f t="shared" si="3"/>
        <v>0.39660056657223797</v>
      </c>
    </row>
    <row r="11" spans="1:11" x14ac:dyDescent="0.25">
      <c r="A11" s="20" t="s">
        <v>40</v>
      </c>
      <c r="B11" s="20" t="s">
        <v>41</v>
      </c>
      <c r="C11" s="20">
        <v>1410</v>
      </c>
      <c r="D11" s="20">
        <v>239</v>
      </c>
      <c r="E11" s="20">
        <v>63</v>
      </c>
      <c r="F11" s="20">
        <v>238</v>
      </c>
      <c r="G11" s="20">
        <v>83</v>
      </c>
      <c r="H11" s="20">
        <f t="shared" si="0"/>
        <v>20</v>
      </c>
      <c r="I11" s="37">
        <f t="shared" si="1"/>
        <v>-4.1841004184100415E-3</v>
      </c>
      <c r="J11" s="23">
        <f t="shared" si="2"/>
        <v>0.26359832635983266</v>
      </c>
      <c r="K11" s="23">
        <f t="shared" si="3"/>
        <v>0.34873949579831931</v>
      </c>
    </row>
    <row r="12" spans="1:11" x14ac:dyDescent="0.25">
      <c r="A12" s="19" t="s">
        <v>36</v>
      </c>
      <c r="B12" s="19" t="s">
        <v>37</v>
      </c>
      <c r="C12" s="19">
        <v>1213</v>
      </c>
      <c r="D12" s="19">
        <v>259</v>
      </c>
      <c r="E12" s="19">
        <v>60</v>
      </c>
      <c r="F12" s="19">
        <v>269</v>
      </c>
      <c r="G12" s="19">
        <v>77</v>
      </c>
      <c r="H12" s="19">
        <f t="shared" si="0"/>
        <v>17</v>
      </c>
      <c r="I12" s="36">
        <f t="shared" si="1"/>
        <v>3.8610038610038609E-2</v>
      </c>
      <c r="J12" s="35">
        <f t="shared" si="2"/>
        <v>0.23166023166023167</v>
      </c>
      <c r="K12" s="35">
        <f t="shared" si="3"/>
        <v>0.28624535315985128</v>
      </c>
    </row>
    <row r="13" spans="1:11" x14ac:dyDescent="0.25">
      <c r="A13" s="20" t="s">
        <v>38</v>
      </c>
      <c r="B13" s="20" t="s">
        <v>39</v>
      </c>
      <c r="C13" s="20">
        <v>1087</v>
      </c>
      <c r="D13" s="20">
        <v>249</v>
      </c>
      <c r="E13" s="20">
        <v>122</v>
      </c>
      <c r="F13" s="20">
        <v>254</v>
      </c>
      <c r="G13" s="20">
        <v>139</v>
      </c>
      <c r="H13" s="20">
        <f t="shared" si="0"/>
        <v>17</v>
      </c>
      <c r="I13" s="37">
        <f t="shared" si="1"/>
        <v>2.0080321285140562E-2</v>
      </c>
      <c r="J13" s="23">
        <f t="shared" si="2"/>
        <v>0.48995983935742971</v>
      </c>
      <c r="K13" s="23">
        <f t="shared" si="3"/>
        <v>0.547244094488189</v>
      </c>
    </row>
    <row r="14" spans="1:11" x14ac:dyDescent="0.25">
      <c r="A14" s="19" t="s">
        <v>18</v>
      </c>
      <c r="B14" s="19" t="s">
        <v>19</v>
      </c>
      <c r="C14" s="19">
        <v>2529</v>
      </c>
      <c r="D14" s="19">
        <v>400</v>
      </c>
      <c r="E14" s="19">
        <v>103</v>
      </c>
      <c r="F14" s="19">
        <v>427</v>
      </c>
      <c r="G14" s="19">
        <v>115</v>
      </c>
      <c r="H14" s="19">
        <f t="shared" si="0"/>
        <v>12</v>
      </c>
      <c r="I14" s="36">
        <f t="shared" si="1"/>
        <v>6.7500000000000004E-2</v>
      </c>
      <c r="J14" s="35">
        <f t="shared" si="2"/>
        <v>0.25750000000000001</v>
      </c>
      <c r="K14" s="35">
        <f t="shared" si="3"/>
        <v>0.26932084309133492</v>
      </c>
    </row>
    <row r="15" spans="1:11" x14ac:dyDescent="0.25">
      <c r="A15" s="20" t="s">
        <v>20</v>
      </c>
      <c r="B15" s="20" t="s">
        <v>21</v>
      </c>
      <c r="C15" s="20">
        <v>1868</v>
      </c>
      <c r="D15" s="20">
        <v>211</v>
      </c>
      <c r="E15" s="20">
        <v>73</v>
      </c>
      <c r="F15" s="20">
        <v>211</v>
      </c>
      <c r="G15" s="20">
        <v>84</v>
      </c>
      <c r="H15" s="20">
        <f t="shared" si="0"/>
        <v>11</v>
      </c>
      <c r="I15" s="37">
        <f t="shared" si="1"/>
        <v>0</v>
      </c>
      <c r="J15" s="23">
        <f t="shared" si="2"/>
        <v>0.34597156398104267</v>
      </c>
      <c r="K15" s="23">
        <f t="shared" si="3"/>
        <v>0.3981042654028436</v>
      </c>
    </row>
    <row r="16" spans="1:11" x14ac:dyDescent="0.25">
      <c r="A16" s="19" t="s">
        <v>50</v>
      </c>
      <c r="B16" s="19" t="s">
        <v>51</v>
      </c>
      <c r="C16" s="19">
        <v>940</v>
      </c>
      <c r="D16" s="19">
        <v>286</v>
      </c>
      <c r="E16" s="19">
        <v>97</v>
      </c>
      <c r="F16" s="19">
        <v>329</v>
      </c>
      <c r="G16" s="19">
        <v>102</v>
      </c>
      <c r="H16" s="19">
        <f t="shared" si="0"/>
        <v>5</v>
      </c>
      <c r="I16" s="36">
        <f t="shared" si="1"/>
        <v>0.15034965034965034</v>
      </c>
      <c r="J16" s="35">
        <f t="shared" si="2"/>
        <v>0.33916083916083917</v>
      </c>
      <c r="K16" s="35">
        <f t="shared" si="3"/>
        <v>0.3100303951367781</v>
      </c>
    </row>
    <row r="17" spans="1:11" x14ac:dyDescent="0.25">
      <c r="A17" s="20" t="s">
        <v>32</v>
      </c>
      <c r="B17" s="20" t="s">
        <v>33</v>
      </c>
      <c r="C17" s="20">
        <v>2085</v>
      </c>
      <c r="D17" s="20">
        <v>333</v>
      </c>
      <c r="E17" s="20">
        <v>72</v>
      </c>
      <c r="F17" s="20">
        <v>346</v>
      </c>
      <c r="G17" s="20">
        <v>75</v>
      </c>
      <c r="H17" s="20">
        <f t="shared" si="0"/>
        <v>3</v>
      </c>
      <c r="I17" s="37">
        <f t="shared" si="1"/>
        <v>3.903903903903904E-2</v>
      </c>
      <c r="J17" s="23">
        <f t="shared" si="2"/>
        <v>0.21621621621621623</v>
      </c>
      <c r="K17" s="23">
        <f t="shared" si="3"/>
        <v>0.21676300578034682</v>
      </c>
    </row>
    <row r="18" spans="1:11" x14ac:dyDescent="0.25">
      <c r="A18" s="19" t="s">
        <v>48</v>
      </c>
      <c r="B18" s="19" t="s">
        <v>49</v>
      </c>
      <c r="C18" s="19">
        <v>796</v>
      </c>
      <c r="D18" s="19">
        <v>296</v>
      </c>
      <c r="E18" s="19">
        <v>42</v>
      </c>
      <c r="F18" s="19">
        <v>294</v>
      </c>
      <c r="G18" s="19">
        <v>45</v>
      </c>
      <c r="H18" s="19">
        <f t="shared" si="0"/>
        <v>3</v>
      </c>
      <c r="I18" s="36">
        <f t="shared" si="1"/>
        <v>-6.7567567567567571E-3</v>
      </c>
      <c r="J18" s="35">
        <f t="shared" si="2"/>
        <v>0.14189189189189189</v>
      </c>
      <c r="K18" s="35">
        <f t="shared" si="3"/>
        <v>0.15306122448979592</v>
      </c>
    </row>
    <row r="19" spans="1:11" x14ac:dyDescent="0.25">
      <c r="A19" s="20" t="s">
        <v>60</v>
      </c>
      <c r="B19" s="20" t="s">
        <v>61</v>
      </c>
      <c r="C19" s="20">
        <v>282</v>
      </c>
      <c r="D19" s="20">
        <v>174</v>
      </c>
      <c r="E19" s="20">
        <v>20</v>
      </c>
      <c r="F19" s="20">
        <v>191</v>
      </c>
      <c r="G19" s="20">
        <v>22</v>
      </c>
      <c r="H19" s="20">
        <f t="shared" si="0"/>
        <v>2</v>
      </c>
      <c r="I19" s="37">
        <f t="shared" si="1"/>
        <v>9.7701149425287362E-2</v>
      </c>
      <c r="J19" s="23">
        <f t="shared" si="2"/>
        <v>0.11494252873563218</v>
      </c>
      <c r="K19" s="23">
        <f t="shared" si="3"/>
        <v>0.11518324607329843</v>
      </c>
    </row>
    <row r="20" spans="1:11" x14ac:dyDescent="0.25">
      <c r="A20" s="19" t="s">
        <v>30</v>
      </c>
      <c r="B20" s="19" t="s">
        <v>31</v>
      </c>
      <c r="C20" s="19">
        <v>944</v>
      </c>
      <c r="D20" s="19">
        <v>98</v>
      </c>
      <c r="E20" s="19">
        <v>13</v>
      </c>
      <c r="F20" s="19">
        <v>101</v>
      </c>
      <c r="G20" s="19">
        <v>14</v>
      </c>
      <c r="H20" s="19">
        <f t="shared" si="0"/>
        <v>1</v>
      </c>
      <c r="I20" s="36">
        <f t="shared" si="1"/>
        <v>3.0612244897959183E-2</v>
      </c>
      <c r="J20" s="35">
        <f t="shared" si="2"/>
        <v>0.1326530612244898</v>
      </c>
      <c r="K20" s="35">
        <f t="shared" si="3"/>
        <v>0.13861386138613863</v>
      </c>
    </row>
    <row r="21" spans="1:11" x14ac:dyDescent="0.25">
      <c r="A21" s="20" t="s">
        <v>46</v>
      </c>
      <c r="B21" s="20" t="s">
        <v>47</v>
      </c>
      <c r="C21" s="20">
        <v>683</v>
      </c>
      <c r="D21" s="20">
        <v>123</v>
      </c>
      <c r="E21" s="20">
        <v>23</v>
      </c>
      <c r="F21" s="20">
        <v>124</v>
      </c>
      <c r="G21" s="20">
        <v>24</v>
      </c>
      <c r="H21" s="20">
        <f t="shared" si="0"/>
        <v>1</v>
      </c>
      <c r="I21" s="37">
        <f t="shared" si="1"/>
        <v>8.130081300813009E-3</v>
      </c>
      <c r="J21" s="23">
        <f t="shared" si="2"/>
        <v>0.18699186991869918</v>
      </c>
      <c r="K21" s="23">
        <f t="shared" si="3"/>
        <v>0.19354838709677419</v>
      </c>
    </row>
    <row r="22" spans="1:11" x14ac:dyDescent="0.25">
      <c r="A22" s="19" t="s">
        <v>52</v>
      </c>
      <c r="B22" s="19" t="s">
        <v>53</v>
      </c>
      <c r="C22" s="19">
        <v>802</v>
      </c>
      <c r="D22" s="19">
        <v>0</v>
      </c>
      <c r="E22" s="19">
        <v>0</v>
      </c>
      <c r="F22" s="19">
        <v>0</v>
      </c>
      <c r="G22" s="19">
        <v>0</v>
      </c>
      <c r="H22" s="19">
        <f t="shared" si="0"/>
        <v>0</v>
      </c>
      <c r="I22" s="36">
        <f t="shared" si="1"/>
        <v>0</v>
      </c>
      <c r="J22" s="35">
        <f t="shared" si="2"/>
        <v>0</v>
      </c>
      <c r="K22" s="35">
        <f t="shared" si="3"/>
        <v>0</v>
      </c>
    </row>
    <row r="23" spans="1:11" x14ac:dyDescent="0.25">
      <c r="A23" s="20" t="s">
        <v>54</v>
      </c>
      <c r="B23" s="20" t="s">
        <v>55</v>
      </c>
      <c r="C23" s="20">
        <v>949</v>
      </c>
      <c r="D23" s="20">
        <v>113</v>
      </c>
      <c r="E23" s="20">
        <v>32</v>
      </c>
      <c r="F23" s="20">
        <v>136</v>
      </c>
      <c r="G23" s="20">
        <v>32</v>
      </c>
      <c r="H23" s="20">
        <f t="shared" si="0"/>
        <v>0</v>
      </c>
      <c r="I23" s="37">
        <f t="shared" si="1"/>
        <v>0.20353982300884957</v>
      </c>
      <c r="J23" s="23">
        <f t="shared" si="2"/>
        <v>0.2831858407079646</v>
      </c>
      <c r="K23" s="23">
        <f t="shared" si="3"/>
        <v>0.23529411764705882</v>
      </c>
    </row>
    <row r="24" spans="1:11" x14ac:dyDescent="0.25">
      <c r="A24" s="19" t="s">
        <v>56</v>
      </c>
      <c r="B24" s="19" t="s">
        <v>57</v>
      </c>
      <c r="C24" s="19">
        <v>312</v>
      </c>
      <c r="D24" s="19">
        <v>245</v>
      </c>
      <c r="E24" s="19">
        <v>3</v>
      </c>
      <c r="F24" s="19">
        <v>308</v>
      </c>
      <c r="G24" s="19">
        <v>3</v>
      </c>
      <c r="H24" s="19">
        <f t="shared" si="0"/>
        <v>0</v>
      </c>
      <c r="I24" s="36">
        <f t="shared" si="1"/>
        <v>0.25714285714285712</v>
      </c>
      <c r="J24" s="35">
        <f t="shared" si="2"/>
        <v>1.2244897959183673E-2</v>
      </c>
      <c r="K24" s="35">
        <f t="shared" si="3"/>
        <v>9.74025974025974E-3</v>
      </c>
    </row>
    <row r="25" spans="1:11" x14ac:dyDescent="0.25">
      <c r="A25" s="20" t="s">
        <v>52</v>
      </c>
      <c r="B25" s="20" t="s">
        <v>58</v>
      </c>
      <c r="C25" s="20">
        <v>652</v>
      </c>
      <c r="D25" s="20">
        <v>0</v>
      </c>
      <c r="E25" s="20">
        <v>0</v>
      </c>
      <c r="F25" s="20">
        <v>0</v>
      </c>
      <c r="G25" s="20">
        <v>0</v>
      </c>
      <c r="H25" s="20">
        <f t="shared" si="0"/>
        <v>0</v>
      </c>
      <c r="I25" s="37">
        <f t="shared" si="1"/>
        <v>0</v>
      </c>
      <c r="J25" s="23">
        <f t="shared" si="2"/>
        <v>0</v>
      </c>
      <c r="K25" s="23">
        <f t="shared" si="3"/>
        <v>0</v>
      </c>
    </row>
    <row r="26" spans="1:11" x14ac:dyDescent="0.25">
      <c r="A26" s="19" t="s">
        <v>52</v>
      </c>
      <c r="B26" s="19" t="s">
        <v>59</v>
      </c>
      <c r="C26" s="19">
        <v>219</v>
      </c>
      <c r="D26" s="19">
        <v>0</v>
      </c>
      <c r="E26" s="19">
        <v>0</v>
      </c>
      <c r="F26" s="19">
        <v>0</v>
      </c>
      <c r="G26" s="19">
        <v>0</v>
      </c>
      <c r="H26" s="19">
        <f t="shared" si="0"/>
        <v>0</v>
      </c>
      <c r="I26" s="36">
        <f t="shared" si="1"/>
        <v>0</v>
      </c>
      <c r="J26" s="35">
        <f t="shared" si="2"/>
        <v>0</v>
      </c>
      <c r="K26" s="35">
        <f t="shared" si="3"/>
        <v>0</v>
      </c>
    </row>
    <row r="27" spans="1:11" x14ac:dyDescent="0.25">
      <c r="A27" s="20" t="s">
        <v>52</v>
      </c>
      <c r="B27" s="20" t="s">
        <v>64</v>
      </c>
      <c r="C27" s="20">
        <v>75</v>
      </c>
      <c r="D27" s="20">
        <v>0</v>
      </c>
      <c r="E27" s="20">
        <v>0</v>
      </c>
      <c r="F27" s="20">
        <v>0</v>
      </c>
      <c r="G27" s="20">
        <v>0</v>
      </c>
      <c r="H27" s="20">
        <f t="shared" si="0"/>
        <v>0</v>
      </c>
      <c r="I27" s="37">
        <f t="shared" si="1"/>
        <v>0</v>
      </c>
      <c r="J27" s="23">
        <f t="shared" si="2"/>
        <v>0</v>
      </c>
      <c r="K27" s="23">
        <f t="shared" si="3"/>
        <v>0</v>
      </c>
    </row>
    <row r="28" spans="1:11" x14ac:dyDescent="0.25">
      <c r="A28" s="19" t="s">
        <v>65</v>
      </c>
      <c r="B28" s="19" t="s">
        <v>66</v>
      </c>
      <c r="C28" s="19">
        <v>269</v>
      </c>
      <c r="D28" s="19">
        <v>43</v>
      </c>
      <c r="E28" s="19">
        <v>0</v>
      </c>
      <c r="F28" s="19">
        <v>79</v>
      </c>
      <c r="G28" s="19">
        <v>0</v>
      </c>
      <c r="H28" s="19">
        <f t="shared" si="0"/>
        <v>0</v>
      </c>
      <c r="I28" s="36">
        <f t="shared" si="1"/>
        <v>0.83720930232558144</v>
      </c>
      <c r="J28" s="35">
        <f t="shared" si="2"/>
        <v>0</v>
      </c>
      <c r="K28" s="35">
        <f t="shared" si="3"/>
        <v>0</v>
      </c>
    </row>
    <row r="29" spans="1:11" x14ac:dyDescent="0.25">
      <c r="A29" s="20" t="s">
        <v>67</v>
      </c>
      <c r="B29" s="20" t="s">
        <v>68</v>
      </c>
      <c r="C29" s="20">
        <v>93</v>
      </c>
      <c r="D29" s="20">
        <v>6</v>
      </c>
      <c r="E29" s="20">
        <v>0</v>
      </c>
      <c r="F29" s="20">
        <v>26</v>
      </c>
      <c r="G29" s="20">
        <v>0</v>
      </c>
      <c r="H29" s="20">
        <f t="shared" si="0"/>
        <v>0</v>
      </c>
      <c r="I29" s="37">
        <f t="shared" si="1"/>
        <v>3.3333333333333335</v>
      </c>
      <c r="J29" s="23">
        <f t="shared" si="2"/>
        <v>0</v>
      </c>
      <c r="K29" s="23">
        <f t="shared" si="3"/>
        <v>0</v>
      </c>
    </row>
    <row r="30" spans="1:11" x14ac:dyDescent="0.25">
      <c r="A30" s="19" t="s">
        <v>52</v>
      </c>
      <c r="B30" s="19" t="s">
        <v>69</v>
      </c>
      <c r="C30" s="19">
        <v>122</v>
      </c>
      <c r="D30" s="19">
        <v>0</v>
      </c>
      <c r="E30" s="19">
        <v>0</v>
      </c>
      <c r="F30" s="19">
        <v>0</v>
      </c>
      <c r="G30" s="19">
        <v>0</v>
      </c>
      <c r="H30" s="19">
        <f t="shared" si="0"/>
        <v>0</v>
      </c>
      <c r="I30" s="36">
        <f t="shared" si="1"/>
        <v>0</v>
      </c>
      <c r="J30" s="35">
        <f t="shared" si="2"/>
        <v>0</v>
      </c>
      <c r="K30" s="35">
        <f t="shared" si="3"/>
        <v>0</v>
      </c>
    </row>
    <row r="31" spans="1:11" x14ac:dyDescent="0.25">
      <c r="A31" s="20" t="s">
        <v>52</v>
      </c>
      <c r="B31" s="20" t="s">
        <v>70</v>
      </c>
      <c r="C31" s="20">
        <v>77</v>
      </c>
      <c r="D31" s="20">
        <v>0</v>
      </c>
      <c r="E31" s="20">
        <v>0</v>
      </c>
      <c r="F31" s="20">
        <v>0</v>
      </c>
      <c r="G31" s="20">
        <v>0</v>
      </c>
      <c r="H31" s="20">
        <f t="shared" si="0"/>
        <v>0</v>
      </c>
      <c r="I31" s="37">
        <f t="shared" si="1"/>
        <v>0</v>
      </c>
      <c r="J31" s="23">
        <f t="shared" si="2"/>
        <v>0</v>
      </c>
      <c r="K31" s="23">
        <f t="shared" si="3"/>
        <v>0</v>
      </c>
    </row>
    <row r="32" spans="1:11" x14ac:dyDescent="0.25">
      <c r="A32" s="19" t="s">
        <v>52</v>
      </c>
      <c r="B32" s="19" t="s">
        <v>71</v>
      </c>
      <c r="C32" s="19">
        <v>84</v>
      </c>
      <c r="D32" s="19">
        <v>0</v>
      </c>
      <c r="E32" s="19">
        <v>0</v>
      </c>
      <c r="F32" s="19">
        <v>0</v>
      </c>
      <c r="G32" s="19">
        <v>0</v>
      </c>
      <c r="H32" s="19">
        <f t="shared" si="0"/>
        <v>0</v>
      </c>
      <c r="I32" s="36">
        <f t="shared" si="1"/>
        <v>0</v>
      </c>
      <c r="J32" s="35">
        <f t="shared" si="2"/>
        <v>0</v>
      </c>
      <c r="K32" s="35">
        <f t="shared" si="3"/>
        <v>0</v>
      </c>
    </row>
    <row r="33" spans="1:11" x14ac:dyDescent="0.25">
      <c r="A33" s="20" t="s">
        <v>52</v>
      </c>
      <c r="B33" s="20" t="s">
        <v>72</v>
      </c>
      <c r="C33" s="20">
        <v>134</v>
      </c>
      <c r="D33" s="20">
        <v>0</v>
      </c>
      <c r="E33" s="20">
        <v>0</v>
      </c>
      <c r="F33" s="20">
        <v>0</v>
      </c>
      <c r="G33" s="20">
        <v>0</v>
      </c>
      <c r="H33" s="20">
        <f t="shared" si="0"/>
        <v>0</v>
      </c>
      <c r="I33" s="37">
        <f t="shared" si="1"/>
        <v>0</v>
      </c>
      <c r="J33" s="23">
        <f t="shared" si="2"/>
        <v>0</v>
      </c>
      <c r="K33" s="23">
        <f t="shared" si="3"/>
        <v>0</v>
      </c>
    </row>
    <row r="34" spans="1:11" x14ac:dyDescent="0.25">
      <c r="A34" s="19" t="s">
        <v>52</v>
      </c>
      <c r="B34" s="19" t="s">
        <v>73</v>
      </c>
      <c r="C34" s="19">
        <v>35</v>
      </c>
      <c r="D34" s="19">
        <v>0</v>
      </c>
      <c r="E34" s="19">
        <v>0</v>
      </c>
      <c r="F34" s="19">
        <v>0</v>
      </c>
      <c r="G34" s="19">
        <v>0</v>
      </c>
      <c r="H34" s="19">
        <f t="shared" si="0"/>
        <v>0</v>
      </c>
      <c r="I34" s="36">
        <f t="shared" si="1"/>
        <v>0</v>
      </c>
      <c r="J34" s="35">
        <f t="shared" si="2"/>
        <v>0</v>
      </c>
      <c r="K34" s="35">
        <f t="shared" si="3"/>
        <v>0</v>
      </c>
    </row>
    <row r="35" spans="1:11" x14ac:dyDescent="0.25">
      <c r="A35" s="20" t="s">
        <v>34</v>
      </c>
      <c r="B35" s="20" t="s">
        <v>35</v>
      </c>
      <c r="C35" s="20">
        <v>1167</v>
      </c>
      <c r="D35" s="20">
        <v>249</v>
      </c>
      <c r="E35" s="20">
        <v>81</v>
      </c>
      <c r="F35" s="20">
        <v>257</v>
      </c>
      <c r="G35" s="20">
        <v>78</v>
      </c>
      <c r="H35" s="20">
        <f t="shared" si="0"/>
        <v>-3</v>
      </c>
      <c r="I35" s="37">
        <f t="shared" si="1"/>
        <v>3.2128514056224897E-2</v>
      </c>
      <c r="J35" s="23">
        <f t="shared" si="2"/>
        <v>0.3253012048192771</v>
      </c>
      <c r="K35" s="23">
        <f t="shared" si="3"/>
        <v>0.30350194552529181</v>
      </c>
    </row>
    <row r="36" spans="1:11" x14ac:dyDescent="0.25">
      <c r="A36" s="19" t="s">
        <v>22</v>
      </c>
      <c r="B36" s="19" t="s">
        <v>23</v>
      </c>
      <c r="C36" s="19">
        <v>1566</v>
      </c>
      <c r="D36" s="19">
        <v>352</v>
      </c>
      <c r="E36" s="19">
        <v>133</v>
      </c>
      <c r="F36" s="19">
        <v>341</v>
      </c>
      <c r="G36" s="19">
        <v>129</v>
      </c>
      <c r="H36" s="19">
        <f t="shared" si="0"/>
        <v>-4</v>
      </c>
      <c r="I36" s="36">
        <f t="shared" si="1"/>
        <v>-3.125E-2</v>
      </c>
      <c r="J36" s="35">
        <f t="shared" si="2"/>
        <v>0.37784090909090912</v>
      </c>
      <c r="K36" s="35">
        <f t="shared" si="3"/>
        <v>0.3782991202346041</v>
      </c>
    </row>
    <row r="37" spans="1:11" x14ac:dyDescent="0.25">
      <c r="A37" s="20" t="s">
        <v>62</v>
      </c>
      <c r="B37" s="20" t="s">
        <v>63</v>
      </c>
      <c r="C37" s="20">
        <v>266</v>
      </c>
      <c r="D37" s="20">
        <v>92</v>
      </c>
      <c r="E37" s="20">
        <v>36</v>
      </c>
      <c r="F37" s="20">
        <v>99</v>
      </c>
      <c r="G37" s="20">
        <v>32</v>
      </c>
      <c r="H37" s="20">
        <f t="shared" si="0"/>
        <v>-4</v>
      </c>
      <c r="I37" s="37">
        <f t="shared" si="1"/>
        <v>7.6086956521739135E-2</v>
      </c>
      <c r="J37" s="23">
        <f t="shared" si="2"/>
        <v>0.39130434782608697</v>
      </c>
      <c r="K37" s="23">
        <f t="shared" si="3"/>
        <v>0.32323232323232326</v>
      </c>
    </row>
    <row r="38" spans="1:11" x14ac:dyDescent="0.25">
      <c r="A38" s="19" t="s">
        <v>44</v>
      </c>
      <c r="B38" s="19" t="s">
        <v>45</v>
      </c>
      <c r="C38" s="19">
        <v>1659</v>
      </c>
      <c r="D38" s="19">
        <v>196</v>
      </c>
      <c r="E38" s="19">
        <v>85</v>
      </c>
      <c r="F38" s="19">
        <v>195</v>
      </c>
      <c r="G38" s="19">
        <v>70</v>
      </c>
      <c r="H38" s="19">
        <f t="shared" si="0"/>
        <v>-15</v>
      </c>
      <c r="I38" s="36">
        <f t="shared" si="1"/>
        <v>-5.1020408163265302E-3</v>
      </c>
      <c r="J38" s="35">
        <f t="shared" si="2"/>
        <v>0.43367346938775508</v>
      </c>
      <c r="K38" s="35">
        <f t="shared" si="3"/>
        <v>0.35897435897435898</v>
      </c>
    </row>
    <row r="39" spans="1:11" x14ac:dyDescent="0.25">
      <c r="A39" s="20" t="s">
        <v>8</v>
      </c>
      <c r="B39" s="20" t="s">
        <v>9</v>
      </c>
      <c r="C39" s="20">
        <v>7119</v>
      </c>
      <c r="D39" s="20">
        <v>945</v>
      </c>
      <c r="E39" s="20">
        <v>324</v>
      </c>
      <c r="F39" s="20">
        <v>905</v>
      </c>
      <c r="G39" s="20">
        <v>288</v>
      </c>
      <c r="H39" s="20">
        <f t="shared" si="0"/>
        <v>-36</v>
      </c>
      <c r="I39" s="37">
        <f t="shared" si="1"/>
        <v>-4.2328042328042326E-2</v>
      </c>
      <c r="J39" s="23">
        <f t="shared" si="2"/>
        <v>0.34285714285714286</v>
      </c>
      <c r="K39" s="23">
        <f t="shared" si="3"/>
        <v>0.318232044198895</v>
      </c>
    </row>
    <row r="40" spans="1:11" x14ac:dyDescent="0.25">
      <c r="A40" s="19" t="s">
        <v>16</v>
      </c>
      <c r="B40" s="19" t="s">
        <v>17</v>
      </c>
      <c r="C40" s="19">
        <v>4005</v>
      </c>
      <c r="D40" s="19">
        <v>501</v>
      </c>
      <c r="E40" s="19">
        <v>160</v>
      </c>
      <c r="F40" s="19">
        <v>431</v>
      </c>
      <c r="G40" s="19">
        <v>102</v>
      </c>
      <c r="H40" s="19">
        <f t="shared" si="0"/>
        <v>-58</v>
      </c>
      <c r="I40" s="36">
        <f t="shared" si="1"/>
        <v>-0.13972055888223553</v>
      </c>
      <c r="J40" s="35">
        <f t="shared" si="2"/>
        <v>0.31936127744510978</v>
      </c>
      <c r="K40" s="35">
        <f t="shared" si="3"/>
        <v>0.23665893271461716</v>
      </c>
    </row>
    <row r="41" spans="1:11" ht="15.75" x14ac:dyDescent="0.25">
      <c r="A41" s="22"/>
      <c r="B41" s="22" t="s">
        <v>74</v>
      </c>
      <c r="C41" s="27">
        <v>77712</v>
      </c>
      <c r="D41" s="27">
        <v>12888</v>
      </c>
      <c r="E41" s="27">
        <v>2969</v>
      </c>
      <c r="F41" s="22">
        <v>13169</v>
      </c>
      <c r="G41" s="22">
        <v>3455</v>
      </c>
      <c r="H41" s="22">
        <f>F41-D41</f>
        <v>281</v>
      </c>
      <c r="I41" s="38">
        <f>(F41-D41)/D41</f>
        <v>2.1803227808814402E-2</v>
      </c>
      <c r="J41" s="68">
        <f t="shared" si="2"/>
        <v>0.2303693358162632</v>
      </c>
      <c r="K41" s="68">
        <f t="shared" si="3"/>
        <v>0.26235856936745389</v>
      </c>
    </row>
    <row r="50" spans="3:5" x14ac:dyDescent="0.25">
      <c r="C50" s="8"/>
      <c r="D50" s="8"/>
      <c r="E50" s="8"/>
    </row>
    <row r="51" spans="3:5" x14ac:dyDescent="0.25">
      <c r="C51" s="8"/>
      <c r="D51" s="8"/>
      <c r="E51" s="8"/>
    </row>
  </sheetData>
  <autoFilter ref="A2:K2" xr:uid="{15083107-F1F9-4EEE-B07F-B122A893B9F4}">
    <sortState xmlns:xlrd2="http://schemas.microsoft.com/office/spreadsheetml/2017/richdata2" ref="A3:K41">
      <sortCondition descending="1" ref="H2"/>
    </sortState>
  </autoFilter>
  <mergeCells count="3">
    <mergeCell ref="D1:E1"/>
    <mergeCell ref="F1:G1"/>
    <mergeCell ref="H1:K1"/>
  </mergeCells>
  <conditionalFormatting sqref="I3:I40">
    <cfRule type="cellIs" dxfId="33" priority="3" operator="lessThan">
      <formula>$I$41</formula>
    </cfRule>
  </conditionalFormatting>
  <conditionalFormatting sqref="I3:I41">
    <cfRule type="cellIs" dxfId="32" priority="5" operator="lessThan">
      <formula>$I$39</formula>
    </cfRule>
    <cfRule type="cellIs" dxfId="31" priority="8" operator="lessThan">
      <formula>$I$38</formula>
    </cfRule>
  </conditionalFormatting>
  <conditionalFormatting sqref="J3:J40">
    <cfRule type="cellIs" dxfId="30" priority="2" operator="lessThan">
      <formula>$J$41</formula>
    </cfRule>
    <cfRule type="cellIs" dxfId="29" priority="7" operator="lessThan">
      <formula>$J$38</formula>
    </cfRule>
  </conditionalFormatting>
  <conditionalFormatting sqref="K3:K40">
    <cfRule type="cellIs" dxfId="28" priority="1" operator="lessThan">
      <formula>$K$41</formula>
    </cfRule>
    <cfRule type="cellIs" dxfId="27" priority="4" operator="lessThan">
      <formula>$K$40</formula>
    </cfRule>
    <cfRule type="cellIs" dxfId="26" priority="6" operator="lessThan">
      <formula>$K$38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7881-12E1-4722-AC34-4D8913B33FA6}">
  <dimension ref="A1:K52"/>
  <sheetViews>
    <sheetView showGridLines="0" zoomScale="84" workbookViewId="0">
      <selection activeCell="H40" sqref="H40"/>
    </sheetView>
  </sheetViews>
  <sheetFormatPr defaultRowHeight="15" x14ac:dyDescent="0.25"/>
  <cols>
    <col min="1" max="2" width="19.28515625" style="7" customWidth="1"/>
    <col min="3" max="3" width="14.42578125" style="7" bestFit="1" customWidth="1"/>
    <col min="4" max="4" width="29.140625" style="7" bestFit="1" customWidth="1"/>
    <col min="5" max="5" width="6.140625" style="7" bestFit="1" customWidth="1"/>
    <col min="6" max="6" width="17.85546875" bestFit="1" customWidth="1"/>
    <col min="7" max="7" width="15" customWidth="1"/>
    <col min="8" max="8" width="19.42578125" bestFit="1" customWidth="1"/>
    <col min="9" max="9" width="15.42578125" style="69" bestFit="1" customWidth="1"/>
    <col min="10" max="10" width="33.85546875" style="90" bestFit="1" customWidth="1"/>
    <col min="11" max="11" width="29.85546875" style="90" customWidth="1"/>
    <col min="12" max="73" width="8.7109375" bestFit="1" customWidth="1"/>
  </cols>
  <sheetData>
    <row r="1" spans="1:11" ht="18.75" x14ac:dyDescent="0.3">
      <c r="A1" s="56"/>
      <c r="B1" s="56"/>
      <c r="C1" s="54"/>
      <c r="D1" s="96" t="s">
        <v>137</v>
      </c>
      <c r="E1" s="96"/>
      <c r="F1" s="97" t="s">
        <v>140</v>
      </c>
      <c r="G1" s="97"/>
      <c r="H1" s="98" t="s">
        <v>145</v>
      </c>
      <c r="I1" s="98"/>
      <c r="J1" s="98"/>
      <c r="K1" s="98"/>
    </row>
    <row r="2" spans="1:11" ht="18.75" x14ac:dyDescent="0.3">
      <c r="A2" s="54" t="s">
        <v>0</v>
      </c>
      <c r="B2" s="54" t="s">
        <v>1</v>
      </c>
      <c r="C2" s="54" t="s">
        <v>4</v>
      </c>
      <c r="D2" s="54" t="s">
        <v>138</v>
      </c>
      <c r="E2" s="54" t="s">
        <v>76</v>
      </c>
      <c r="F2" s="82" t="s">
        <v>121</v>
      </c>
      <c r="G2" s="82" t="s">
        <v>76</v>
      </c>
      <c r="H2" s="63" t="s">
        <v>97</v>
      </c>
      <c r="I2" s="63" t="s">
        <v>87</v>
      </c>
      <c r="J2" s="89" t="s">
        <v>147</v>
      </c>
      <c r="K2" s="89" t="s">
        <v>146</v>
      </c>
    </row>
    <row r="3" spans="1:11" x14ac:dyDescent="0.25">
      <c r="A3" s="20" t="s">
        <v>6</v>
      </c>
      <c r="B3" s="20" t="s">
        <v>7</v>
      </c>
      <c r="C3" s="20">
        <v>21396</v>
      </c>
      <c r="D3" s="20">
        <v>4168</v>
      </c>
      <c r="E3" s="20">
        <v>128</v>
      </c>
      <c r="F3" s="20">
        <v>4216</v>
      </c>
      <c r="G3" s="20">
        <v>312</v>
      </c>
      <c r="H3" s="20">
        <f t="shared" ref="H3:H40" si="0">G3-E3</f>
        <v>184</v>
      </c>
      <c r="I3" s="37">
        <f t="shared" ref="I3:I40" si="1">IFERROR((F3-D3)/D3,0)</f>
        <v>1.1516314779270634E-2</v>
      </c>
      <c r="J3" s="86">
        <f t="shared" ref="J3:J41" si="2">IFERROR(E3/D3,0)</f>
        <v>3.0710172744721688E-2</v>
      </c>
      <c r="K3" s="86">
        <f t="shared" ref="K3:K41" si="3">IFERROR(G3/F3,0)</f>
        <v>7.4003795066413663E-2</v>
      </c>
    </row>
    <row r="4" spans="1:11" x14ac:dyDescent="0.25">
      <c r="A4" s="19" t="s">
        <v>10</v>
      </c>
      <c r="B4" s="19" t="s">
        <v>11</v>
      </c>
      <c r="C4" s="19">
        <v>6371</v>
      </c>
      <c r="D4" s="19">
        <v>729</v>
      </c>
      <c r="E4" s="19">
        <v>80</v>
      </c>
      <c r="F4" s="19">
        <v>726</v>
      </c>
      <c r="G4" s="19">
        <v>116</v>
      </c>
      <c r="H4" s="19">
        <f t="shared" si="0"/>
        <v>36</v>
      </c>
      <c r="I4" s="36">
        <f t="shared" si="1"/>
        <v>-4.11522633744856E-3</v>
      </c>
      <c r="J4" s="87">
        <f t="shared" si="2"/>
        <v>0.10973936899862825</v>
      </c>
      <c r="K4" s="87">
        <f t="shared" si="3"/>
        <v>0.15977961432506887</v>
      </c>
    </row>
    <row r="5" spans="1:11" x14ac:dyDescent="0.25">
      <c r="A5" s="20" t="s">
        <v>12</v>
      </c>
      <c r="B5" s="20" t="s">
        <v>13</v>
      </c>
      <c r="C5" s="20">
        <v>4172</v>
      </c>
      <c r="D5" s="20">
        <v>701</v>
      </c>
      <c r="E5" s="20">
        <v>52</v>
      </c>
      <c r="F5" s="20">
        <v>698</v>
      </c>
      <c r="G5" s="20">
        <v>87</v>
      </c>
      <c r="H5" s="20">
        <f t="shared" si="0"/>
        <v>35</v>
      </c>
      <c r="I5" s="37">
        <f t="shared" si="1"/>
        <v>-4.2796005706134095E-3</v>
      </c>
      <c r="J5" s="86">
        <f t="shared" si="2"/>
        <v>7.4179743223965769E-2</v>
      </c>
      <c r="K5" s="86">
        <f t="shared" si="3"/>
        <v>0.12464183381088825</v>
      </c>
    </row>
    <row r="6" spans="1:11" x14ac:dyDescent="0.25">
      <c r="A6" s="19" t="s">
        <v>40</v>
      </c>
      <c r="B6" s="19" t="s">
        <v>41</v>
      </c>
      <c r="C6" s="19">
        <v>1410</v>
      </c>
      <c r="D6" s="19">
        <v>239</v>
      </c>
      <c r="E6" s="19">
        <v>20</v>
      </c>
      <c r="F6" s="19">
        <v>238</v>
      </c>
      <c r="G6" s="19">
        <v>47</v>
      </c>
      <c r="H6" s="19">
        <f t="shared" si="0"/>
        <v>27</v>
      </c>
      <c r="I6" s="36">
        <f t="shared" si="1"/>
        <v>-4.1841004184100415E-3</v>
      </c>
      <c r="J6" s="87">
        <f t="shared" si="2"/>
        <v>8.3682008368200833E-2</v>
      </c>
      <c r="K6" s="87">
        <f t="shared" si="3"/>
        <v>0.19747899159663865</v>
      </c>
    </row>
    <row r="7" spans="1:11" x14ac:dyDescent="0.25">
      <c r="A7" s="20" t="s">
        <v>18</v>
      </c>
      <c r="B7" s="20" t="s">
        <v>19</v>
      </c>
      <c r="C7" s="20">
        <v>2529</v>
      </c>
      <c r="D7" s="20">
        <v>400</v>
      </c>
      <c r="E7" s="20">
        <v>26</v>
      </c>
      <c r="F7" s="20">
        <v>427</v>
      </c>
      <c r="G7" s="20">
        <v>49</v>
      </c>
      <c r="H7" s="20">
        <f t="shared" si="0"/>
        <v>23</v>
      </c>
      <c r="I7" s="37">
        <f t="shared" si="1"/>
        <v>6.7500000000000004E-2</v>
      </c>
      <c r="J7" s="86">
        <f t="shared" si="2"/>
        <v>6.5000000000000002E-2</v>
      </c>
      <c r="K7" s="86">
        <f t="shared" si="3"/>
        <v>0.11475409836065574</v>
      </c>
    </row>
    <row r="8" spans="1:11" x14ac:dyDescent="0.25">
      <c r="A8" s="19" t="s">
        <v>50</v>
      </c>
      <c r="B8" s="19" t="s">
        <v>51</v>
      </c>
      <c r="C8" s="19">
        <v>940</v>
      </c>
      <c r="D8" s="19">
        <v>286</v>
      </c>
      <c r="E8" s="19">
        <v>31</v>
      </c>
      <c r="F8" s="19">
        <v>329</v>
      </c>
      <c r="G8" s="19">
        <v>52</v>
      </c>
      <c r="H8" s="19">
        <f t="shared" si="0"/>
        <v>21</v>
      </c>
      <c r="I8" s="36">
        <f t="shared" si="1"/>
        <v>0.15034965034965034</v>
      </c>
      <c r="J8" s="87">
        <f t="shared" si="2"/>
        <v>0.10839160839160839</v>
      </c>
      <c r="K8" s="87">
        <f t="shared" si="3"/>
        <v>0.1580547112462006</v>
      </c>
    </row>
    <row r="9" spans="1:11" x14ac:dyDescent="0.25">
      <c r="A9" s="20" t="s">
        <v>38</v>
      </c>
      <c r="B9" s="20" t="s">
        <v>39</v>
      </c>
      <c r="C9" s="20">
        <v>1087</v>
      </c>
      <c r="D9" s="20">
        <v>249</v>
      </c>
      <c r="E9" s="20">
        <v>24</v>
      </c>
      <c r="F9" s="20">
        <v>254</v>
      </c>
      <c r="G9" s="20">
        <v>44</v>
      </c>
      <c r="H9" s="20">
        <f t="shared" si="0"/>
        <v>20</v>
      </c>
      <c r="I9" s="37">
        <f t="shared" si="1"/>
        <v>2.0080321285140562E-2</v>
      </c>
      <c r="J9" s="86">
        <f t="shared" si="2"/>
        <v>9.6385542168674704E-2</v>
      </c>
      <c r="K9" s="86">
        <f t="shared" si="3"/>
        <v>0.17322834645669291</v>
      </c>
    </row>
    <row r="10" spans="1:11" x14ac:dyDescent="0.25">
      <c r="A10" s="19" t="s">
        <v>36</v>
      </c>
      <c r="B10" s="19" t="s">
        <v>37</v>
      </c>
      <c r="C10" s="19">
        <v>1213</v>
      </c>
      <c r="D10" s="19">
        <v>259</v>
      </c>
      <c r="E10" s="19">
        <v>11</v>
      </c>
      <c r="F10" s="19">
        <v>269</v>
      </c>
      <c r="G10" s="19">
        <v>28</v>
      </c>
      <c r="H10" s="19">
        <f t="shared" si="0"/>
        <v>17</v>
      </c>
      <c r="I10" s="36">
        <f t="shared" si="1"/>
        <v>3.8610038610038609E-2</v>
      </c>
      <c r="J10" s="87">
        <f t="shared" si="2"/>
        <v>4.2471042471042469E-2</v>
      </c>
      <c r="K10" s="87">
        <f t="shared" si="3"/>
        <v>0.10408921933085502</v>
      </c>
    </row>
    <row r="11" spans="1:11" x14ac:dyDescent="0.25">
      <c r="A11" s="20" t="s">
        <v>20</v>
      </c>
      <c r="B11" s="20" t="s">
        <v>21</v>
      </c>
      <c r="C11" s="20">
        <v>1868</v>
      </c>
      <c r="D11" s="20">
        <v>211</v>
      </c>
      <c r="E11" s="20">
        <v>26</v>
      </c>
      <c r="F11" s="20">
        <v>211</v>
      </c>
      <c r="G11" s="20">
        <v>42</v>
      </c>
      <c r="H11" s="20">
        <f t="shared" si="0"/>
        <v>16</v>
      </c>
      <c r="I11" s="37">
        <f t="shared" si="1"/>
        <v>0</v>
      </c>
      <c r="J11" s="86">
        <f t="shared" si="2"/>
        <v>0.12322274881516587</v>
      </c>
      <c r="K11" s="86">
        <f t="shared" si="3"/>
        <v>0.1990521327014218</v>
      </c>
    </row>
    <row r="12" spans="1:11" x14ac:dyDescent="0.25">
      <c r="A12" s="19" t="s">
        <v>42</v>
      </c>
      <c r="B12" s="19" t="s">
        <v>43</v>
      </c>
      <c r="C12" s="19">
        <v>1048</v>
      </c>
      <c r="D12" s="19">
        <v>276</v>
      </c>
      <c r="E12" s="19">
        <v>9</v>
      </c>
      <c r="F12" s="19">
        <v>276</v>
      </c>
      <c r="G12" s="19">
        <v>25</v>
      </c>
      <c r="H12" s="19">
        <f t="shared" si="0"/>
        <v>16</v>
      </c>
      <c r="I12" s="36">
        <f t="shared" si="1"/>
        <v>0</v>
      </c>
      <c r="J12" s="87">
        <f t="shared" si="2"/>
        <v>3.2608695652173912E-2</v>
      </c>
      <c r="K12" s="87">
        <f t="shared" si="3"/>
        <v>9.0579710144927536E-2</v>
      </c>
    </row>
    <row r="13" spans="1:11" x14ac:dyDescent="0.25">
      <c r="A13" s="20" t="s">
        <v>28</v>
      </c>
      <c r="B13" s="20" t="s">
        <v>29</v>
      </c>
      <c r="C13" s="20">
        <v>4317</v>
      </c>
      <c r="D13" s="20">
        <v>439</v>
      </c>
      <c r="E13" s="20">
        <v>34</v>
      </c>
      <c r="F13" s="20">
        <v>459</v>
      </c>
      <c r="G13" s="20">
        <v>49</v>
      </c>
      <c r="H13" s="20">
        <f t="shared" si="0"/>
        <v>15</v>
      </c>
      <c r="I13" s="37">
        <f t="shared" si="1"/>
        <v>4.5558086560364468E-2</v>
      </c>
      <c r="J13" s="86">
        <f t="shared" si="2"/>
        <v>7.7448747152619596E-2</v>
      </c>
      <c r="K13" s="86">
        <f t="shared" si="3"/>
        <v>0.10675381263616558</v>
      </c>
    </row>
    <row r="14" spans="1:11" x14ac:dyDescent="0.25">
      <c r="A14" s="19" t="s">
        <v>54</v>
      </c>
      <c r="B14" s="19" t="s">
        <v>55</v>
      </c>
      <c r="C14" s="19">
        <v>949</v>
      </c>
      <c r="D14" s="19">
        <v>113</v>
      </c>
      <c r="E14" s="19">
        <v>6</v>
      </c>
      <c r="F14" s="19">
        <v>136</v>
      </c>
      <c r="G14" s="19">
        <v>21</v>
      </c>
      <c r="H14" s="19">
        <f t="shared" si="0"/>
        <v>15</v>
      </c>
      <c r="I14" s="36">
        <f t="shared" si="1"/>
        <v>0.20353982300884957</v>
      </c>
      <c r="J14" s="87">
        <f t="shared" si="2"/>
        <v>5.3097345132743362E-2</v>
      </c>
      <c r="K14" s="87">
        <f t="shared" si="3"/>
        <v>0.15441176470588236</v>
      </c>
    </row>
    <row r="15" spans="1:11" x14ac:dyDescent="0.25">
      <c r="A15" s="20" t="s">
        <v>26</v>
      </c>
      <c r="B15" s="20" t="s">
        <v>27</v>
      </c>
      <c r="C15" s="20">
        <v>1874</v>
      </c>
      <c r="D15" s="20">
        <v>357</v>
      </c>
      <c r="E15" s="20">
        <v>58</v>
      </c>
      <c r="F15" s="20">
        <v>353</v>
      </c>
      <c r="G15" s="20">
        <v>71</v>
      </c>
      <c r="H15" s="20">
        <f t="shared" si="0"/>
        <v>13</v>
      </c>
      <c r="I15" s="37">
        <f t="shared" si="1"/>
        <v>-1.1204481792717087E-2</v>
      </c>
      <c r="J15" s="86">
        <f t="shared" si="2"/>
        <v>0.16246498599439776</v>
      </c>
      <c r="K15" s="86">
        <f t="shared" si="3"/>
        <v>0.20113314447592068</v>
      </c>
    </row>
    <row r="16" spans="1:11" x14ac:dyDescent="0.25">
      <c r="A16" s="19" t="s">
        <v>32</v>
      </c>
      <c r="B16" s="19" t="s">
        <v>33</v>
      </c>
      <c r="C16" s="19">
        <v>2085</v>
      </c>
      <c r="D16" s="19">
        <v>333</v>
      </c>
      <c r="E16" s="19">
        <v>9</v>
      </c>
      <c r="F16" s="19">
        <v>346</v>
      </c>
      <c r="G16" s="19">
        <v>20</v>
      </c>
      <c r="H16" s="19">
        <f t="shared" si="0"/>
        <v>11</v>
      </c>
      <c r="I16" s="36">
        <f t="shared" si="1"/>
        <v>3.903903903903904E-2</v>
      </c>
      <c r="J16" s="87">
        <f t="shared" si="2"/>
        <v>2.7027027027027029E-2</v>
      </c>
      <c r="K16" s="87">
        <f t="shared" si="3"/>
        <v>5.7803468208092484E-2</v>
      </c>
    </row>
    <row r="17" spans="1:11" x14ac:dyDescent="0.25">
      <c r="A17" s="20" t="s">
        <v>14</v>
      </c>
      <c r="B17" s="20" t="s">
        <v>15</v>
      </c>
      <c r="C17" s="20">
        <v>2711</v>
      </c>
      <c r="D17" s="20">
        <v>461</v>
      </c>
      <c r="E17" s="20">
        <v>12</v>
      </c>
      <c r="F17" s="20">
        <v>531</v>
      </c>
      <c r="G17" s="20">
        <v>19</v>
      </c>
      <c r="H17" s="20">
        <f t="shared" si="0"/>
        <v>7</v>
      </c>
      <c r="I17" s="37">
        <f t="shared" si="1"/>
        <v>0.15184381778741865</v>
      </c>
      <c r="J17" s="86">
        <f t="shared" si="2"/>
        <v>2.6030368763557483E-2</v>
      </c>
      <c r="K17" s="86">
        <f t="shared" si="3"/>
        <v>3.5781544256120526E-2</v>
      </c>
    </row>
    <row r="18" spans="1:11" x14ac:dyDescent="0.25">
      <c r="A18" s="19" t="s">
        <v>16</v>
      </c>
      <c r="B18" s="19" t="s">
        <v>17</v>
      </c>
      <c r="C18" s="19">
        <v>4005</v>
      </c>
      <c r="D18" s="19">
        <v>501</v>
      </c>
      <c r="E18" s="19">
        <v>29</v>
      </c>
      <c r="F18" s="19">
        <v>431</v>
      </c>
      <c r="G18" s="19">
        <v>33</v>
      </c>
      <c r="H18" s="19">
        <f t="shared" si="0"/>
        <v>4</v>
      </c>
      <c r="I18" s="36">
        <f t="shared" si="1"/>
        <v>-0.13972055888223553</v>
      </c>
      <c r="J18" s="87">
        <f t="shared" si="2"/>
        <v>5.7884231536926151E-2</v>
      </c>
      <c r="K18" s="87">
        <f t="shared" si="3"/>
        <v>7.6566125290023199E-2</v>
      </c>
    </row>
    <row r="19" spans="1:11" x14ac:dyDescent="0.25">
      <c r="A19" s="20" t="s">
        <v>46</v>
      </c>
      <c r="B19" s="20" t="s">
        <v>47</v>
      </c>
      <c r="C19" s="20">
        <v>683</v>
      </c>
      <c r="D19" s="20">
        <v>123</v>
      </c>
      <c r="E19" s="20">
        <v>3</v>
      </c>
      <c r="F19" s="20">
        <v>124</v>
      </c>
      <c r="G19" s="20">
        <v>6</v>
      </c>
      <c r="H19" s="20">
        <f t="shared" si="0"/>
        <v>3</v>
      </c>
      <c r="I19" s="37">
        <f t="shared" si="1"/>
        <v>8.130081300813009E-3</v>
      </c>
      <c r="J19" s="86">
        <f t="shared" si="2"/>
        <v>2.4390243902439025E-2</v>
      </c>
      <c r="K19" s="86">
        <f t="shared" si="3"/>
        <v>4.8387096774193547E-2</v>
      </c>
    </row>
    <row r="20" spans="1:11" x14ac:dyDescent="0.25">
      <c r="A20" s="19" t="s">
        <v>22</v>
      </c>
      <c r="B20" s="19" t="s">
        <v>23</v>
      </c>
      <c r="C20" s="19">
        <v>1566</v>
      </c>
      <c r="D20" s="19">
        <v>352</v>
      </c>
      <c r="E20" s="19">
        <v>57</v>
      </c>
      <c r="F20" s="19">
        <v>341</v>
      </c>
      <c r="G20" s="19">
        <v>58</v>
      </c>
      <c r="H20" s="19">
        <f t="shared" si="0"/>
        <v>1</v>
      </c>
      <c r="I20" s="36">
        <f t="shared" si="1"/>
        <v>-3.125E-2</v>
      </c>
      <c r="J20" s="87">
        <f t="shared" si="2"/>
        <v>0.16193181818181818</v>
      </c>
      <c r="K20" s="87">
        <f t="shared" si="3"/>
        <v>0.17008797653958943</v>
      </c>
    </row>
    <row r="21" spans="1:11" x14ac:dyDescent="0.25">
      <c r="A21" s="20" t="s">
        <v>56</v>
      </c>
      <c r="B21" s="20" t="s">
        <v>57</v>
      </c>
      <c r="C21" s="20">
        <v>312</v>
      </c>
      <c r="D21" s="20">
        <v>245</v>
      </c>
      <c r="E21" s="20">
        <v>0</v>
      </c>
      <c r="F21" s="20">
        <v>308</v>
      </c>
      <c r="G21" s="20">
        <v>1</v>
      </c>
      <c r="H21" s="20">
        <f t="shared" si="0"/>
        <v>1</v>
      </c>
      <c r="I21" s="37">
        <f t="shared" si="1"/>
        <v>0.25714285714285712</v>
      </c>
      <c r="J21" s="86">
        <f t="shared" si="2"/>
        <v>0</v>
      </c>
      <c r="K21" s="86">
        <f t="shared" si="3"/>
        <v>3.246753246753247E-3</v>
      </c>
    </row>
    <row r="22" spans="1:11" x14ac:dyDescent="0.25">
      <c r="A22" s="19" t="s">
        <v>52</v>
      </c>
      <c r="B22" s="19" t="s">
        <v>53</v>
      </c>
      <c r="C22" s="19">
        <v>802</v>
      </c>
      <c r="D22" s="19">
        <v>0</v>
      </c>
      <c r="E22" s="19">
        <v>0</v>
      </c>
      <c r="F22" s="19">
        <v>0</v>
      </c>
      <c r="G22" s="19">
        <v>0</v>
      </c>
      <c r="H22" s="19">
        <f t="shared" si="0"/>
        <v>0</v>
      </c>
      <c r="I22" s="36">
        <f t="shared" si="1"/>
        <v>0</v>
      </c>
      <c r="J22" s="87">
        <f t="shared" si="2"/>
        <v>0</v>
      </c>
      <c r="K22" s="87">
        <f t="shared" si="3"/>
        <v>0</v>
      </c>
    </row>
    <row r="23" spans="1:11" x14ac:dyDescent="0.25">
      <c r="A23" s="20" t="s">
        <v>52</v>
      </c>
      <c r="B23" s="20" t="s">
        <v>58</v>
      </c>
      <c r="C23" s="20">
        <v>652</v>
      </c>
      <c r="D23" s="20">
        <v>0</v>
      </c>
      <c r="E23" s="20">
        <v>0</v>
      </c>
      <c r="F23" s="20">
        <v>0</v>
      </c>
      <c r="G23" s="20">
        <v>0</v>
      </c>
      <c r="H23" s="20">
        <f t="shared" si="0"/>
        <v>0</v>
      </c>
      <c r="I23" s="37">
        <f t="shared" si="1"/>
        <v>0</v>
      </c>
      <c r="J23" s="86">
        <f t="shared" si="2"/>
        <v>0</v>
      </c>
      <c r="K23" s="86">
        <f t="shared" si="3"/>
        <v>0</v>
      </c>
    </row>
    <row r="24" spans="1:11" x14ac:dyDescent="0.25">
      <c r="A24" s="19" t="s">
        <v>52</v>
      </c>
      <c r="B24" s="19" t="s">
        <v>59</v>
      </c>
      <c r="C24" s="19">
        <v>219</v>
      </c>
      <c r="D24" s="19">
        <v>0</v>
      </c>
      <c r="E24" s="19">
        <v>0</v>
      </c>
      <c r="F24" s="19">
        <v>0</v>
      </c>
      <c r="G24" s="19">
        <v>0</v>
      </c>
      <c r="H24" s="19">
        <f t="shared" si="0"/>
        <v>0</v>
      </c>
      <c r="I24" s="36">
        <f t="shared" si="1"/>
        <v>0</v>
      </c>
      <c r="J24" s="87">
        <f t="shared" si="2"/>
        <v>0</v>
      </c>
      <c r="K24" s="87">
        <f t="shared" si="3"/>
        <v>0</v>
      </c>
    </row>
    <row r="25" spans="1:11" x14ac:dyDescent="0.25">
      <c r="A25" s="20" t="s">
        <v>52</v>
      </c>
      <c r="B25" s="20" t="s">
        <v>64</v>
      </c>
      <c r="C25" s="20">
        <v>75</v>
      </c>
      <c r="D25" s="20">
        <v>0</v>
      </c>
      <c r="E25" s="20">
        <v>0</v>
      </c>
      <c r="F25" s="20">
        <v>0</v>
      </c>
      <c r="G25" s="20">
        <v>0</v>
      </c>
      <c r="H25" s="20">
        <f t="shared" si="0"/>
        <v>0</v>
      </c>
      <c r="I25" s="37">
        <f t="shared" si="1"/>
        <v>0</v>
      </c>
      <c r="J25" s="86">
        <f t="shared" si="2"/>
        <v>0</v>
      </c>
      <c r="K25" s="86">
        <f t="shared" si="3"/>
        <v>0</v>
      </c>
    </row>
    <row r="26" spans="1:11" x14ac:dyDescent="0.25">
      <c r="A26" s="19" t="s">
        <v>65</v>
      </c>
      <c r="B26" s="19" t="s">
        <v>66</v>
      </c>
      <c r="C26" s="19">
        <v>269</v>
      </c>
      <c r="D26" s="19">
        <v>43</v>
      </c>
      <c r="E26" s="19">
        <v>0</v>
      </c>
      <c r="F26" s="19">
        <v>79</v>
      </c>
      <c r="G26" s="19">
        <v>0</v>
      </c>
      <c r="H26" s="19">
        <f t="shared" si="0"/>
        <v>0</v>
      </c>
      <c r="I26" s="36">
        <f t="shared" si="1"/>
        <v>0.83720930232558144</v>
      </c>
      <c r="J26" s="87">
        <f t="shared" si="2"/>
        <v>0</v>
      </c>
      <c r="K26" s="87">
        <f t="shared" si="3"/>
        <v>0</v>
      </c>
    </row>
    <row r="27" spans="1:11" x14ac:dyDescent="0.25">
      <c r="A27" s="20" t="s">
        <v>67</v>
      </c>
      <c r="B27" s="20" t="s">
        <v>68</v>
      </c>
      <c r="C27" s="20">
        <v>93</v>
      </c>
      <c r="D27" s="20">
        <v>6</v>
      </c>
      <c r="E27" s="20">
        <v>0</v>
      </c>
      <c r="F27" s="20">
        <v>26</v>
      </c>
      <c r="G27" s="20">
        <v>0</v>
      </c>
      <c r="H27" s="20">
        <f t="shared" si="0"/>
        <v>0</v>
      </c>
      <c r="I27" s="37">
        <f t="shared" si="1"/>
        <v>3.3333333333333335</v>
      </c>
      <c r="J27" s="86">
        <f t="shared" si="2"/>
        <v>0</v>
      </c>
      <c r="K27" s="86">
        <f t="shared" si="3"/>
        <v>0</v>
      </c>
    </row>
    <row r="28" spans="1:11" x14ac:dyDescent="0.25">
      <c r="A28" s="19" t="s">
        <v>52</v>
      </c>
      <c r="B28" s="19" t="s">
        <v>69</v>
      </c>
      <c r="C28" s="19">
        <v>122</v>
      </c>
      <c r="D28" s="19">
        <v>0</v>
      </c>
      <c r="E28" s="19">
        <v>0</v>
      </c>
      <c r="F28" s="19">
        <v>0</v>
      </c>
      <c r="G28" s="19">
        <v>0</v>
      </c>
      <c r="H28" s="19">
        <f t="shared" si="0"/>
        <v>0</v>
      </c>
      <c r="I28" s="36">
        <f t="shared" si="1"/>
        <v>0</v>
      </c>
      <c r="J28" s="87">
        <f t="shared" si="2"/>
        <v>0</v>
      </c>
      <c r="K28" s="87">
        <f t="shared" si="3"/>
        <v>0</v>
      </c>
    </row>
    <row r="29" spans="1:11" x14ac:dyDescent="0.25">
      <c r="A29" s="20" t="s">
        <v>52</v>
      </c>
      <c r="B29" s="20" t="s">
        <v>70</v>
      </c>
      <c r="C29" s="20">
        <v>77</v>
      </c>
      <c r="D29" s="20">
        <v>0</v>
      </c>
      <c r="E29" s="20">
        <v>0</v>
      </c>
      <c r="F29" s="20">
        <v>0</v>
      </c>
      <c r="G29" s="20">
        <v>0</v>
      </c>
      <c r="H29" s="20">
        <f t="shared" si="0"/>
        <v>0</v>
      </c>
      <c r="I29" s="37">
        <f t="shared" si="1"/>
        <v>0</v>
      </c>
      <c r="J29" s="86">
        <f t="shared" si="2"/>
        <v>0</v>
      </c>
      <c r="K29" s="86">
        <f t="shared" si="3"/>
        <v>0</v>
      </c>
    </row>
    <row r="30" spans="1:11" x14ac:dyDescent="0.25">
      <c r="A30" s="19" t="s">
        <v>52</v>
      </c>
      <c r="B30" s="19" t="s">
        <v>71</v>
      </c>
      <c r="C30" s="19">
        <v>84</v>
      </c>
      <c r="D30" s="19">
        <v>0</v>
      </c>
      <c r="E30" s="19">
        <v>0</v>
      </c>
      <c r="F30" s="19">
        <v>0</v>
      </c>
      <c r="G30" s="19">
        <v>0</v>
      </c>
      <c r="H30" s="19">
        <f t="shared" si="0"/>
        <v>0</v>
      </c>
      <c r="I30" s="36">
        <f t="shared" si="1"/>
        <v>0</v>
      </c>
      <c r="J30" s="87">
        <f t="shared" si="2"/>
        <v>0</v>
      </c>
      <c r="K30" s="87">
        <f t="shared" si="3"/>
        <v>0</v>
      </c>
    </row>
    <row r="31" spans="1:11" x14ac:dyDescent="0.25">
      <c r="A31" s="20" t="s">
        <v>52</v>
      </c>
      <c r="B31" s="20" t="s">
        <v>72</v>
      </c>
      <c r="C31" s="20">
        <v>134</v>
      </c>
      <c r="D31" s="20">
        <v>0</v>
      </c>
      <c r="E31" s="20">
        <v>0</v>
      </c>
      <c r="F31" s="20">
        <v>0</v>
      </c>
      <c r="G31" s="20">
        <v>0</v>
      </c>
      <c r="H31" s="20">
        <f t="shared" si="0"/>
        <v>0</v>
      </c>
      <c r="I31" s="37">
        <f t="shared" si="1"/>
        <v>0</v>
      </c>
      <c r="J31" s="86">
        <f t="shared" si="2"/>
        <v>0</v>
      </c>
      <c r="K31" s="86">
        <f t="shared" si="3"/>
        <v>0</v>
      </c>
    </row>
    <row r="32" spans="1:11" x14ac:dyDescent="0.25">
      <c r="A32" s="19" t="s">
        <v>52</v>
      </c>
      <c r="B32" s="19" t="s">
        <v>73</v>
      </c>
      <c r="C32" s="19">
        <v>35</v>
      </c>
      <c r="D32" s="19">
        <v>0</v>
      </c>
      <c r="E32" s="19">
        <v>0</v>
      </c>
      <c r="F32" s="19">
        <v>0</v>
      </c>
      <c r="G32" s="19">
        <v>0</v>
      </c>
      <c r="H32" s="19">
        <f t="shared" si="0"/>
        <v>0</v>
      </c>
      <c r="I32" s="36">
        <f t="shared" si="1"/>
        <v>0</v>
      </c>
      <c r="J32" s="87">
        <f t="shared" si="2"/>
        <v>0</v>
      </c>
      <c r="K32" s="87">
        <f t="shared" si="3"/>
        <v>0</v>
      </c>
    </row>
    <row r="33" spans="1:11" x14ac:dyDescent="0.25">
      <c r="A33" s="20" t="s">
        <v>30</v>
      </c>
      <c r="B33" s="20" t="s">
        <v>31</v>
      </c>
      <c r="C33" s="20">
        <v>944</v>
      </c>
      <c r="D33" s="20">
        <v>98</v>
      </c>
      <c r="E33" s="20">
        <v>3</v>
      </c>
      <c r="F33" s="20">
        <v>101</v>
      </c>
      <c r="G33" s="20">
        <v>2</v>
      </c>
      <c r="H33" s="20">
        <f t="shared" si="0"/>
        <v>-1</v>
      </c>
      <c r="I33" s="37">
        <f t="shared" si="1"/>
        <v>3.0612244897959183E-2</v>
      </c>
      <c r="J33" s="86">
        <f t="shared" si="2"/>
        <v>3.0612244897959183E-2</v>
      </c>
      <c r="K33" s="86">
        <f t="shared" si="3"/>
        <v>1.9801980198019802E-2</v>
      </c>
    </row>
    <row r="34" spans="1:11" x14ac:dyDescent="0.25">
      <c r="A34" s="19" t="s">
        <v>8</v>
      </c>
      <c r="B34" s="19" t="s">
        <v>9</v>
      </c>
      <c r="C34" s="19">
        <v>7119</v>
      </c>
      <c r="D34" s="19">
        <v>945</v>
      </c>
      <c r="E34" s="19">
        <v>60</v>
      </c>
      <c r="F34" s="19">
        <v>905</v>
      </c>
      <c r="G34" s="19">
        <v>58</v>
      </c>
      <c r="H34" s="19">
        <f t="shared" si="0"/>
        <v>-2</v>
      </c>
      <c r="I34" s="36">
        <f t="shared" si="1"/>
        <v>-4.2328042328042326E-2</v>
      </c>
      <c r="J34" s="87">
        <f t="shared" si="2"/>
        <v>6.3492063492063489E-2</v>
      </c>
      <c r="K34" s="87">
        <f t="shared" si="3"/>
        <v>6.4088397790055249E-2</v>
      </c>
    </row>
    <row r="35" spans="1:11" x14ac:dyDescent="0.25">
      <c r="A35" s="20" t="s">
        <v>44</v>
      </c>
      <c r="B35" s="20" t="s">
        <v>45</v>
      </c>
      <c r="C35" s="20">
        <v>1659</v>
      </c>
      <c r="D35" s="20">
        <v>196</v>
      </c>
      <c r="E35" s="20">
        <v>38</v>
      </c>
      <c r="F35" s="20">
        <v>195</v>
      </c>
      <c r="G35" s="20">
        <v>36</v>
      </c>
      <c r="H35" s="20">
        <f t="shared" si="0"/>
        <v>-2</v>
      </c>
      <c r="I35" s="37">
        <f t="shared" si="1"/>
        <v>-5.1020408163265302E-3</v>
      </c>
      <c r="J35" s="86">
        <f t="shared" si="2"/>
        <v>0.19387755102040816</v>
      </c>
      <c r="K35" s="86">
        <f t="shared" si="3"/>
        <v>0.18461538461538463</v>
      </c>
    </row>
    <row r="36" spans="1:11" x14ac:dyDescent="0.25">
      <c r="A36" s="19" t="s">
        <v>60</v>
      </c>
      <c r="B36" s="19" t="s">
        <v>61</v>
      </c>
      <c r="C36" s="19">
        <v>282</v>
      </c>
      <c r="D36" s="19">
        <v>174</v>
      </c>
      <c r="E36" s="19">
        <v>8</v>
      </c>
      <c r="F36" s="19">
        <v>191</v>
      </c>
      <c r="G36" s="19">
        <v>4</v>
      </c>
      <c r="H36" s="19">
        <f t="shared" si="0"/>
        <v>-4</v>
      </c>
      <c r="I36" s="36">
        <f t="shared" si="1"/>
        <v>9.7701149425287362E-2</v>
      </c>
      <c r="J36" s="87">
        <f t="shared" si="2"/>
        <v>4.5977011494252873E-2</v>
      </c>
      <c r="K36" s="87">
        <f t="shared" si="3"/>
        <v>2.0942408376963352E-2</v>
      </c>
    </row>
    <row r="37" spans="1:11" x14ac:dyDescent="0.25">
      <c r="A37" s="20" t="s">
        <v>62</v>
      </c>
      <c r="B37" s="20" t="s">
        <v>63</v>
      </c>
      <c r="C37" s="20">
        <v>266</v>
      </c>
      <c r="D37" s="20">
        <v>92</v>
      </c>
      <c r="E37" s="20">
        <v>9</v>
      </c>
      <c r="F37" s="20">
        <v>99</v>
      </c>
      <c r="G37" s="20">
        <v>5</v>
      </c>
      <c r="H37" s="20">
        <f t="shared" si="0"/>
        <v>-4</v>
      </c>
      <c r="I37" s="37">
        <f t="shared" si="1"/>
        <v>7.6086956521739135E-2</v>
      </c>
      <c r="J37" s="86">
        <f t="shared" si="2"/>
        <v>9.7826086956521743E-2</v>
      </c>
      <c r="K37" s="86">
        <f t="shared" si="3"/>
        <v>5.0505050505050504E-2</v>
      </c>
    </row>
    <row r="38" spans="1:11" x14ac:dyDescent="0.25">
      <c r="A38" s="19" t="s">
        <v>24</v>
      </c>
      <c r="B38" s="19" t="s">
        <v>25</v>
      </c>
      <c r="C38" s="19">
        <v>2381</v>
      </c>
      <c r="D38" s="19">
        <v>347</v>
      </c>
      <c r="E38" s="19">
        <v>30</v>
      </c>
      <c r="F38" s="19">
        <v>349</v>
      </c>
      <c r="G38" s="19">
        <v>24</v>
      </c>
      <c r="H38" s="19">
        <f t="shared" si="0"/>
        <v>-6</v>
      </c>
      <c r="I38" s="36">
        <f t="shared" si="1"/>
        <v>5.763688760806916E-3</v>
      </c>
      <c r="J38" s="87">
        <f t="shared" si="2"/>
        <v>8.645533141210375E-2</v>
      </c>
      <c r="K38" s="87">
        <f t="shared" si="3"/>
        <v>6.8767908309455589E-2</v>
      </c>
    </row>
    <row r="39" spans="1:11" x14ac:dyDescent="0.25">
      <c r="A39" s="20" t="s">
        <v>48</v>
      </c>
      <c r="B39" s="20" t="s">
        <v>49</v>
      </c>
      <c r="C39" s="20">
        <v>796</v>
      </c>
      <c r="D39" s="20">
        <v>296</v>
      </c>
      <c r="E39" s="20">
        <v>28</v>
      </c>
      <c r="F39" s="20">
        <v>294</v>
      </c>
      <c r="G39" s="20">
        <v>22</v>
      </c>
      <c r="H39" s="20">
        <f t="shared" si="0"/>
        <v>-6</v>
      </c>
      <c r="I39" s="37">
        <f t="shared" si="1"/>
        <v>-6.7567567567567571E-3</v>
      </c>
      <c r="J39" s="86">
        <f t="shared" si="2"/>
        <v>9.45945945945946E-2</v>
      </c>
      <c r="K39" s="86">
        <f t="shared" si="3"/>
        <v>7.4829931972789115E-2</v>
      </c>
    </row>
    <row r="40" spans="1:11" x14ac:dyDescent="0.25">
      <c r="A40" s="19" t="s">
        <v>34</v>
      </c>
      <c r="B40" s="19" t="s">
        <v>35</v>
      </c>
      <c r="C40" s="19">
        <v>1167</v>
      </c>
      <c r="D40" s="19">
        <v>249</v>
      </c>
      <c r="E40" s="19">
        <v>43</v>
      </c>
      <c r="F40" s="19">
        <v>257</v>
      </c>
      <c r="G40" s="19">
        <v>18</v>
      </c>
      <c r="H40" s="19">
        <f t="shared" si="0"/>
        <v>-25</v>
      </c>
      <c r="I40" s="36">
        <f t="shared" si="1"/>
        <v>3.2128514056224897E-2</v>
      </c>
      <c r="J40" s="87">
        <f t="shared" si="2"/>
        <v>0.17269076305220885</v>
      </c>
      <c r="K40" s="87">
        <f t="shared" si="3"/>
        <v>7.0038910505836577E-2</v>
      </c>
    </row>
    <row r="41" spans="1:11" ht="15.75" x14ac:dyDescent="0.25">
      <c r="A41" s="22"/>
      <c r="B41" s="22" t="s">
        <v>74</v>
      </c>
      <c r="C41" s="27">
        <v>77712</v>
      </c>
      <c r="D41" s="27">
        <v>12888</v>
      </c>
      <c r="E41" s="27">
        <v>834</v>
      </c>
      <c r="F41" s="22">
        <v>13169</v>
      </c>
      <c r="G41" s="22">
        <v>1249</v>
      </c>
      <c r="H41" s="22">
        <f>F41-D41</f>
        <v>281</v>
      </c>
      <c r="I41" s="38">
        <f>(F41-D41)/D41</f>
        <v>2.1803227808814402E-2</v>
      </c>
      <c r="J41" s="88">
        <f t="shared" si="2"/>
        <v>6.4711359404096835E-2</v>
      </c>
      <c r="K41" s="88">
        <f t="shared" si="3"/>
        <v>9.4843951704761176E-2</v>
      </c>
    </row>
    <row r="51" spans="3:5" x14ac:dyDescent="0.25">
      <c r="C51" s="8"/>
      <c r="D51" s="8"/>
      <c r="E51" s="8"/>
    </row>
    <row r="52" spans="3:5" x14ac:dyDescent="0.25">
      <c r="C52" s="8"/>
      <c r="D52" s="8"/>
      <c r="E52" s="8"/>
    </row>
  </sheetData>
  <mergeCells count="3">
    <mergeCell ref="D1:E1"/>
    <mergeCell ref="F1:G1"/>
    <mergeCell ref="H1:K1"/>
  </mergeCells>
  <conditionalFormatting sqref="I3:I40">
    <cfRule type="cellIs" dxfId="25" priority="29" operator="lessThan">
      <formula>$I$41</formula>
    </cfRule>
  </conditionalFormatting>
  <conditionalFormatting sqref="I3:I41">
    <cfRule type="cellIs" dxfId="24" priority="5" operator="lessThan">
      <formula>$I$39</formula>
    </cfRule>
    <cfRule type="cellIs" dxfId="23" priority="8" operator="lessThan">
      <formula>$I$38</formula>
    </cfRule>
  </conditionalFormatting>
  <conditionalFormatting sqref="J3:J40">
    <cfRule type="cellIs" dxfId="22" priority="7" operator="lessThan">
      <formula>$J$38</formula>
    </cfRule>
    <cfRule type="cellIs" dxfId="21" priority="30" operator="lessThan">
      <formula>$J$41</formula>
    </cfRule>
  </conditionalFormatting>
  <conditionalFormatting sqref="K3:K40">
    <cfRule type="cellIs" dxfId="20" priority="4" operator="lessThan">
      <formula>$K$40</formula>
    </cfRule>
    <cfRule type="cellIs" dxfId="19" priority="6" operator="lessThan">
      <formula>$K$38</formula>
    </cfRule>
    <cfRule type="cellIs" dxfId="18" priority="31" operator="lessThan">
      <formula>$K$41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5224-8A1F-4FB0-B7B5-E691D68A91C0}">
  <dimension ref="A1:K52"/>
  <sheetViews>
    <sheetView showGridLines="0" zoomScale="84" workbookViewId="0">
      <selection activeCell="K24" sqref="K24"/>
    </sheetView>
  </sheetViews>
  <sheetFormatPr defaultRowHeight="15" x14ac:dyDescent="0.25"/>
  <cols>
    <col min="1" max="2" width="19.28515625" style="7" customWidth="1"/>
    <col min="3" max="3" width="14.42578125" style="7" bestFit="1" customWidth="1"/>
    <col min="4" max="4" width="29.140625" style="7" bestFit="1" customWidth="1"/>
    <col min="5" max="5" width="6" style="7" bestFit="1" customWidth="1"/>
    <col min="6" max="6" width="20.85546875" customWidth="1"/>
    <col min="7" max="7" width="8.5703125" customWidth="1"/>
    <col min="8" max="8" width="19.42578125" bestFit="1" customWidth="1"/>
    <col min="9" max="9" width="15.42578125" style="69" bestFit="1" customWidth="1"/>
    <col min="10" max="10" width="33.85546875" style="95" bestFit="1" customWidth="1"/>
    <col min="11" max="11" width="29.85546875" style="95" customWidth="1"/>
    <col min="12" max="73" width="8.7109375" bestFit="1" customWidth="1"/>
  </cols>
  <sheetData>
    <row r="1" spans="1:11" ht="18.75" x14ac:dyDescent="0.3">
      <c r="A1" s="56"/>
      <c r="B1" s="56"/>
      <c r="C1" s="54"/>
      <c r="D1" s="55" t="s">
        <v>137</v>
      </c>
      <c r="E1" s="55"/>
      <c r="F1" s="97" t="s">
        <v>124</v>
      </c>
      <c r="G1" s="97"/>
      <c r="H1" s="98" t="s">
        <v>145</v>
      </c>
      <c r="I1" s="98"/>
      <c r="J1" s="98"/>
      <c r="K1" s="98"/>
    </row>
    <row r="2" spans="1:11" ht="18.75" x14ac:dyDescent="0.3">
      <c r="A2" s="54" t="s">
        <v>0</v>
      </c>
      <c r="B2" s="54" t="s">
        <v>1</v>
      </c>
      <c r="C2" s="54" t="s">
        <v>4</v>
      </c>
      <c r="D2" s="54" t="s">
        <v>138</v>
      </c>
      <c r="E2" s="54" t="s">
        <v>78</v>
      </c>
      <c r="F2" s="82" t="s">
        <v>121</v>
      </c>
      <c r="G2" s="82" t="s">
        <v>78</v>
      </c>
      <c r="H2" s="63" t="s">
        <v>97</v>
      </c>
      <c r="I2" s="63" t="s">
        <v>87</v>
      </c>
      <c r="J2" s="91" t="s">
        <v>152</v>
      </c>
      <c r="K2" s="91" t="s">
        <v>153</v>
      </c>
    </row>
    <row r="3" spans="1:11" x14ac:dyDescent="0.25">
      <c r="A3" s="20" t="s">
        <v>6</v>
      </c>
      <c r="B3" s="20" t="s">
        <v>7</v>
      </c>
      <c r="C3" s="20">
        <v>21396</v>
      </c>
      <c r="D3" s="20">
        <v>4168</v>
      </c>
      <c r="E3" s="20">
        <v>134</v>
      </c>
      <c r="F3" s="53">
        <v>4216</v>
      </c>
      <c r="G3" s="53">
        <v>245</v>
      </c>
      <c r="H3" s="20">
        <f t="shared" ref="H3:H40" si="0">G3-E3</f>
        <v>111</v>
      </c>
      <c r="I3" s="37">
        <f t="shared" ref="I3:I40" si="1">IFERROR((F3-D3)/D3,0)</f>
        <v>1.1516314779270634E-2</v>
      </c>
      <c r="J3" s="92">
        <f>IFERROR(E3/D3,0)</f>
        <v>3.2149712092130515E-2</v>
      </c>
      <c r="K3" s="92">
        <f>IFERROR(G3/F3,0)</f>
        <v>5.8111954459203037E-2</v>
      </c>
    </row>
    <row r="4" spans="1:11" x14ac:dyDescent="0.25">
      <c r="A4" s="19" t="s">
        <v>12</v>
      </c>
      <c r="B4" s="19" t="s">
        <v>13</v>
      </c>
      <c r="C4" s="19">
        <v>4172</v>
      </c>
      <c r="D4" s="19">
        <v>701</v>
      </c>
      <c r="E4" s="19">
        <v>27</v>
      </c>
      <c r="F4" s="19">
        <v>698</v>
      </c>
      <c r="G4" s="19">
        <v>52</v>
      </c>
      <c r="H4" s="19">
        <f t="shared" si="0"/>
        <v>25</v>
      </c>
      <c r="I4" s="36">
        <f t="shared" si="1"/>
        <v>-4.2796005706134095E-3</v>
      </c>
      <c r="J4" s="93">
        <f t="shared" ref="J4:J41" si="2">IFERROR(E4/D4,0)</f>
        <v>3.8516405135520682E-2</v>
      </c>
      <c r="K4" s="93">
        <f t="shared" ref="K4:K41" si="3">IFERROR(G4/F4,0)</f>
        <v>7.4498567335243557E-2</v>
      </c>
    </row>
    <row r="5" spans="1:11" x14ac:dyDescent="0.25">
      <c r="A5" s="20" t="s">
        <v>10</v>
      </c>
      <c r="B5" s="20" t="s">
        <v>11</v>
      </c>
      <c r="C5" s="20">
        <v>6371</v>
      </c>
      <c r="D5" s="20">
        <v>729</v>
      </c>
      <c r="E5" s="20">
        <v>77</v>
      </c>
      <c r="F5" s="20">
        <v>726</v>
      </c>
      <c r="G5" s="20">
        <v>99</v>
      </c>
      <c r="H5" s="19">
        <f t="shared" si="0"/>
        <v>22</v>
      </c>
      <c r="I5" s="36">
        <f t="shared" si="1"/>
        <v>-4.11522633744856E-3</v>
      </c>
      <c r="J5" s="93">
        <f t="shared" si="2"/>
        <v>0.1056241426611797</v>
      </c>
      <c r="K5" s="93">
        <f t="shared" si="3"/>
        <v>0.13636363636363635</v>
      </c>
    </row>
    <row r="6" spans="1:11" x14ac:dyDescent="0.25">
      <c r="A6" s="19" t="s">
        <v>8</v>
      </c>
      <c r="B6" s="19" t="s">
        <v>9</v>
      </c>
      <c r="C6" s="19">
        <v>7119</v>
      </c>
      <c r="D6" s="19">
        <v>945</v>
      </c>
      <c r="E6" s="19">
        <v>54</v>
      </c>
      <c r="F6" s="53">
        <v>905</v>
      </c>
      <c r="G6" s="53">
        <v>75</v>
      </c>
      <c r="H6" s="20">
        <f t="shared" si="0"/>
        <v>21</v>
      </c>
      <c r="I6" s="37">
        <f t="shared" si="1"/>
        <v>-4.2328042328042326E-2</v>
      </c>
      <c r="J6" s="92">
        <f t="shared" si="2"/>
        <v>5.7142857142857141E-2</v>
      </c>
      <c r="K6" s="92">
        <f t="shared" si="3"/>
        <v>8.2872928176795577E-2</v>
      </c>
    </row>
    <row r="7" spans="1:11" x14ac:dyDescent="0.25">
      <c r="A7" s="19" t="s">
        <v>40</v>
      </c>
      <c r="B7" s="19" t="s">
        <v>41</v>
      </c>
      <c r="C7" s="19">
        <v>1410</v>
      </c>
      <c r="D7" s="19">
        <v>239</v>
      </c>
      <c r="E7" s="19">
        <v>12</v>
      </c>
      <c r="F7" s="19">
        <v>238</v>
      </c>
      <c r="G7" s="19">
        <v>33</v>
      </c>
      <c r="H7" s="20">
        <f t="shared" si="0"/>
        <v>21</v>
      </c>
      <c r="I7" s="37">
        <f t="shared" si="1"/>
        <v>-4.1841004184100415E-3</v>
      </c>
      <c r="J7" s="92">
        <f t="shared" si="2"/>
        <v>5.0209205020920501E-2</v>
      </c>
      <c r="K7" s="92">
        <f t="shared" si="3"/>
        <v>0.13865546218487396</v>
      </c>
    </row>
    <row r="8" spans="1:11" x14ac:dyDescent="0.25">
      <c r="A8" s="19" t="s">
        <v>28</v>
      </c>
      <c r="B8" s="19" t="s">
        <v>29</v>
      </c>
      <c r="C8" s="19">
        <v>4317</v>
      </c>
      <c r="D8" s="19">
        <v>439</v>
      </c>
      <c r="E8" s="19">
        <v>16</v>
      </c>
      <c r="F8" s="19">
        <v>459</v>
      </c>
      <c r="G8" s="19">
        <v>36</v>
      </c>
      <c r="H8" s="20">
        <f t="shared" si="0"/>
        <v>20</v>
      </c>
      <c r="I8" s="37">
        <f t="shared" si="1"/>
        <v>4.5558086560364468E-2</v>
      </c>
      <c r="J8" s="92">
        <f t="shared" si="2"/>
        <v>3.644646924829157E-2</v>
      </c>
      <c r="K8" s="92">
        <f t="shared" si="3"/>
        <v>7.8431372549019607E-2</v>
      </c>
    </row>
    <row r="9" spans="1:11" x14ac:dyDescent="0.25">
      <c r="A9" s="20" t="s">
        <v>50</v>
      </c>
      <c r="B9" s="20" t="s">
        <v>51</v>
      </c>
      <c r="C9" s="20">
        <v>940</v>
      </c>
      <c r="D9" s="20">
        <v>286</v>
      </c>
      <c r="E9" s="20">
        <v>25</v>
      </c>
      <c r="F9" s="20">
        <v>329</v>
      </c>
      <c r="G9" s="20">
        <v>43</v>
      </c>
      <c r="H9" s="20">
        <f t="shared" si="0"/>
        <v>18</v>
      </c>
      <c r="I9" s="37">
        <f t="shared" si="1"/>
        <v>0.15034965034965034</v>
      </c>
      <c r="J9" s="92">
        <f t="shared" si="2"/>
        <v>8.7412587412587409E-2</v>
      </c>
      <c r="K9" s="92">
        <f t="shared" si="3"/>
        <v>0.13069908814589665</v>
      </c>
    </row>
    <row r="10" spans="1:11" x14ac:dyDescent="0.25">
      <c r="A10" s="20" t="s">
        <v>26</v>
      </c>
      <c r="B10" s="20" t="s">
        <v>27</v>
      </c>
      <c r="C10" s="20">
        <v>1874</v>
      </c>
      <c r="D10" s="20">
        <v>357</v>
      </c>
      <c r="E10" s="20">
        <v>28</v>
      </c>
      <c r="F10" s="20">
        <v>353</v>
      </c>
      <c r="G10" s="20">
        <v>44</v>
      </c>
      <c r="H10" s="19">
        <f t="shared" si="0"/>
        <v>16</v>
      </c>
      <c r="I10" s="36">
        <f t="shared" si="1"/>
        <v>-1.1204481792717087E-2</v>
      </c>
      <c r="J10" s="93">
        <f t="shared" si="2"/>
        <v>7.8431372549019607E-2</v>
      </c>
      <c r="K10" s="93">
        <f t="shared" si="3"/>
        <v>0.12464589235127478</v>
      </c>
    </row>
    <row r="11" spans="1:11" x14ac:dyDescent="0.25">
      <c r="A11" s="20" t="s">
        <v>14</v>
      </c>
      <c r="B11" s="20" t="s">
        <v>15</v>
      </c>
      <c r="C11" s="20">
        <v>2711</v>
      </c>
      <c r="D11" s="20">
        <v>461</v>
      </c>
      <c r="E11" s="20">
        <v>10</v>
      </c>
      <c r="F11" s="20">
        <v>531</v>
      </c>
      <c r="G11" s="20">
        <v>24</v>
      </c>
      <c r="H11" s="20">
        <f t="shared" si="0"/>
        <v>14</v>
      </c>
      <c r="I11" s="37">
        <f t="shared" si="1"/>
        <v>0.15184381778741865</v>
      </c>
      <c r="J11" s="92">
        <f t="shared" si="2"/>
        <v>2.1691973969631236E-2</v>
      </c>
      <c r="K11" s="92">
        <f t="shared" si="3"/>
        <v>4.519774011299435E-2</v>
      </c>
    </row>
    <row r="12" spans="1:11" x14ac:dyDescent="0.25">
      <c r="A12" s="20" t="s">
        <v>18</v>
      </c>
      <c r="B12" s="20" t="s">
        <v>19</v>
      </c>
      <c r="C12" s="20">
        <v>2529</v>
      </c>
      <c r="D12" s="20">
        <v>400</v>
      </c>
      <c r="E12" s="20">
        <v>18</v>
      </c>
      <c r="F12" s="20">
        <v>427</v>
      </c>
      <c r="G12" s="20">
        <v>29</v>
      </c>
      <c r="H12" s="20">
        <f t="shared" si="0"/>
        <v>11</v>
      </c>
      <c r="I12" s="37">
        <f t="shared" si="1"/>
        <v>6.7500000000000004E-2</v>
      </c>
      <c r="J12" s="92">
        <f t="shared" si="2"/>
        <v>4.4999999999999998E-2</v>
      </c>
      <c r="K12" s="92">
        <f t="shared" si="3"/>
        <v>6.7915690866510545E-2</v>
      </c>
    </row>
    <row r="13" spans="1:11" x14ac:dyDescent="0.25">
      <c r="A13" s="20" t="s">
        <v>42</v>
      </c>
      <c r="B13" s="20" t="s">
        <v>43</v>
      </c>
      <c r="C13" s="20">
        <v>1048</v>
      </c>
      <c r="D13" s="20">
        <v>276</v>
      </c>
      <c r="E13" s="20">
        <v>9</v>
      </c>
      <c r="F13" s="20">
        <v>276</v>
      </c>
      <c r="G13" s="20">
        <v>18</v>
      </c>
      <c r="H13" s="19">
        <f t="shared" si="0"/>
        <v>9</v>
      </c>
      <c r="I13" s="36">
        <f t="shared" si="1"/>
        <v>0</v>
      </c>
      <c r="J13" s="93">
        <f t="shared" si="2"/>
        <v>3.2608695652173912E-2</v>
      </c>
      <c r="K13" s="93">
        <f t="shared" si="3"/>
        <v>6.5217391304347824E-2</v>
      </c>
    </row>
    <row r="14" spans="1:11" x14ac:dyDescent="0.25">
      <c r="A14" s="19" t="s">
        <v>24</v>
      </c>
      <c r="B14" s="19" t="s">
        <v>25</v>
      </c>
      <c r="C14" s="19">
        <v>2381</v>
      </c>
      <c r="D14" s="19">
        <v>347</v>
      </c>
      <c r="E14" s="19">
        <v>22</v>
      </c>
      <c r="F14" s="19">
        <v>349</v>
      </c>
      <c r="G14" s="19">
        <v>30</v>
      </c>
      <c r="H14" s="20">
        <f t="shared" si="0"/>
        <v>8</v>
      </c>
      <c r="I14" s="37">
        <f t="shared" si="1"/>
        <v>5.763688760806916E-3</v>
      </c>
      <c r="J14" s="92">
        <f t="shared" si="2"/>
        <v>6.3400576368876083E-2</v>
      </c>
      <c r="K14" s="92">
        <f t="shared" si="3"/>
        <v>8.5959885386819479E-2</v>
      </c>
    </row>
    <row r="15" spans="1:11" x14ac:dyDescent="0.25">
      <c r="A15" s="20" t="s">
        <v>38</v>
      </c>
      <c r="B15" s="20" t="s">
        <v>39</v>
      </c>
      <c r="C15" s="20">
        <v>1087</v>
      </c>
      <c r="D15" s="20">
        <v>249</v>
      </c>
      <c r="E15" s="20">
        <v>29</v>
      </c>
      <c r="F15" s="20">
        <v>254</v>
      </c>
      <c r="G15" s="20">
        <v>36</v>
      </c>
      <c r="H15" s="20">
        <f t="shared" si="0"/>
        <v>7</v>
      </c>
      <c r="I15" s="37">
        <f t="shared" si="1"/>
        <v>2.0080321285140562E-2</v>
      </c>
      <c r="J15" s="92">
        <f t="shared" si="2"/>
        <v>0.11646586345381527</v>
      </c>
      <c r="K15" s="92">
        <f t="shared" si="3"/>
        <v>0.14173228346456693</v>
      </c>
    </row>
    <row r="16" spans="1:11" x14ac:dyDescent="0.25">
      <c r="A16" s="19" t="s">
        <v>32</v>
      </c>
      <c r="B16" s="19" t="s">
        <v>33</v>
      </c>
      <c r="C16" s="19">
        <v>2085</v>
      </c>
      <c r="D16" s="19">
        <v>333</v>
      </c>
      <c r="E16" s="19">
        <v>11</v>
      </c>
      <c r="F16" s="19">
        <v>346</v>
      </c>
      <c r="G16" s="19">
        <v>17</v>
      </c>
      <c r="H16" s="19">
        <f t="shared" si="0"/>
        <v>6</v>
      </c>
      <c r="I16" s="36">
        <f t="shared" si="1"/>
        <v>3.903903903903904E-2</v>
      </c>
      <c r="J16" s="93">
        <f t="shared" si="2"/>
        <v>3.3033033033033031E-2</v>
      </c>
      <c r="K16" s="93">
        <f t="shared" si="3"/>
        <v>4.9132947976878616E-2</v>
      </c>
    </row>
    <row r="17" spans="1:11" x14ac:dyDescent="0.25">
      <c r="A17" s="19" t="s">
        <v>16</v>
      </c>
      <c r="B17" s="19" t="s">
        <v>17</v>
      </c>
      <c r="C17" s="19">
        <v>4005</v>
      </c>
      <c r="D17" s="19">
        <v>501</v>
      </c>
      <c r="E17" s="19">
        <v>15</v>
      </c>
      <c r="F17" s="19">
        <v>431</v>
      </c>
      <c r="G17" s="19">
        <v>20</v>
      </c>
      <c r="H17" s="20">
        <f t="shared" si="0"/>
        <v>5</v>
      </c>
      <c r="I17" s="37">
        <f t="shared" si="1"/>
        <v>-0.13972055888223553</v>
      </c>
      <c r="J17" s="92">
        <f t="shared" si="2"/>
        <v>2.9940119760479042E-2</v>
      </c>
      <c r="K17" s="92">
        <f t="shared" si="3"/>
        <v>4.6403712296983757E-2</v>
      </c>
    </row>
    <row r="18" spans="1:11" x14ac:dyDescent="0.25">
      <c r="A18" s="20" t="s">
        <v>22</v>
      </c>
      <c r="B18" s="20" t="s">
        <v>23</v>
      </c>
      <c r="C18" s="20">
        <v>1566</v>
      </c>
      <c r="D18" s="20">
        <v>352</v>
      </c>
      <c r="E18" s="20">
        <v>31</v>
      </c>
      <c r="F18" s="20">
        <v>341</v>
      </c>
      <c r="G18" s="20">
        <v>36</v>
      </c>
      <c r="H18" s="19">
        <f t="shared" si="0"/>
        <v>5</v>
      </c>
      <c r="I18" s="36">
        <f t="shared" si="1"/>
        <v>-3.125E-2</v>
      </c>
      <c r="J18" s="93">
        <f t="shared" si="2"/>
        <v>8.8068181818181823E-2</v>
      </c>
      <c r="K18" s="93">
        <f t="shared" si="3"/>
        <v>0.10557184750733138</v>
      </c>
    </row>
    <row r="19" spans="1:11" x14ac:dyDescent="0.25">
      <c r="A19" s="19" t="s">
        <v>44</v>
      </c>
      <c r="B19" s="19" t="s">
        <v>45</v>
      </c>
      <c r="C19" s="19">
        <v>1659</v>
      </c>
      <c r="D19" s="19">
        <v>196</v>
      </c>
      <c r="E19" s="19">
        <v>15</v>
      </c>
      <c r="F19" s="19">
        <v>195</v>
      </c>
      <c r="G19" s="19">
        <v>20</v>
      </c>
      <c r="H19" s="19">
        <f t="shared" si="0"/>
        <v>5</v>
      </c>
      <c r="I19" s="36">
        <f t="shared" si="1"/>
        <v>-5.1020408163265302E-3</v>
      </c>
      <c r="J19" s="93">
        <f t="shared" si="2"/>
        <v>7.6530612244897961E-2</v>
      </c>
      <c r="K19" s="93">
        <f t="shared" si="3"/>
        <v>0.10256410256410256</v>
      </c>
    </row>
    <row r="20" spans="1:11" x14ac:dyDescent="0.25">
      <c r="A20" s="19" t="s">
        <v>48</v>
      </c>
      <c r="B20" s="19" t="s">
        <v>49</v>
      </c>
      <c r="C20" s="19">
        <v>796</v>
      </c>
      <c r="D20" s="19">
        <v>296</v>
      </c>
      <c r="E20" s="19">
        <v>24</v>
      </c>
      <c r="F20" s="19">
        <v>294</v>
      </c>
      <c r="G20" s="19">
        <v>27</v>
      </c>
      <c r="H20" s="19">
        <f t="shared" si="0"/>
        <v>3</v>
      </c>
      <c r="I20" s="36">
        <f t="shared" si="1"/>
        <v>-6.7567567567567571E-3</v>
      </c>
      <c r="J20" s="93">
        <f t="shared" si="2"/>
        <v>8.1081081081081086E-2</v>
      </c>
      <c r="K20" s="93">
        <f t="shared" si="3"/>
        <v>9.1836734693877556E-2</v>
      </c>
    </row>
    <row r="21" spans="1:11" x14ac:dyDescent="0.25">
      <c r="A21" s="19" t="s">
        <v>20</v>
      </c>
      <c r="B21" s="19" t="s">
        <v>21</v>
      </c>
      <c r="C21" s="19">
        <v>1868</v>
      </c>
      <c r="D21" s="19">
        <v>211</v>
      </c>
      <c r="E21" s="19">
        <v>22</v>
      </c>
      <c r="F21" s="19">
        <v>211</v>
      </c>
      <c r="G21" s="19">
        <v>24</v>
      </c>
      <c r="H21" s="19">
        <f t="shared" si="0"/>
        <v>2</v>
      </c>
      <c r="I21" s="36">
        <f t="shared" si="1"/>
        <v>0</v>
      </c>
      <c r="J21" s="93">
        <f t="shared" si="2"/>
        <v>0.10426540284360189</v>
      </c>
      <c r="K21" s="93">
        <f t="shared" si="3"/>
        <v>0.11374407582938388</v>
      </c>
    </row>
    <row r="22" spans="1:11" x14ac:dyDescent="0.25">
      <c r="A22" s="20" t="s">
        <v>30</v>
      </c>
      <c r="B22" s="20" t="s">
        <v>31</v>
      </c>
      <c r="C22" s="20">
        <v>944</v>
      </c>
      <c r="D22" s="20">
        <v>98</v>
      </c>
      <c r="E22" s="20">
        <v>1</v>
      </c>
      <c r="F22" s="20">
        <v>101</v>
      </c>
      <c r="G22" s="20">
        <v>2</v>
      </c>
      <c r="H22" s="20">
        <f t="shared" si="0"/>
        <v>1</v>
      </c>
      <c r="I22" s="37">
        <f t="shared" si="1"/>
        <v>3.0612244897959183E-2</v>
      </c>
      <c r="J22" s="92">
        <f t="shared" si="2"/>
        <v>1.020408163265306E-2</v>
      </c>
      <c r="K22" s="92">
        <f t="shared" si="3"/>
        <v>1.9801980198019802E-2</v>
      </c>
    </row>
    <row r="23" spans="1:11" x14ac:dyDescent="0.25">
      <c r="A23" s="20" t="s">
        <v>46</v>
      </c>
      <c r="B23" s="20" t="s">
        <v>47</v>
      </c>
      <c r="C23" s="20">
        <v>683</v>
      </c>
      <c r="D23" s="20">
        <v>123</v>
      </c>
      <c r="E23" s="20">
        <v>4</v>
      </c>
      <c r="F23" s="20">
        <v>124</v>
      </c>
      <c r="G23" s="20">
        <v>5</v>
      </c>
      <c r="H23" s="20">
        <f t="shared" si="0"/>
        <v>1</v>
      </c>
      <c r="I23" s="37">
        <f t="shared" si="1"/>
        <v>8.130081300813009E-3</v>
      </c>
      <c r="J23" s="92">
        <f t="shared" si="2"/>
        <v>3.2520325203252036E-2</v>
      </c>
      <c r="K23" s="92">
        <f t="shared" si="3"/>
        <v>4.0322580645161289E-2</v>
      </c>
    </row>
    <row r="24" spans="1:11" x14ac:dyDescent="0.25">
      <c r="A24" s="20" t="s">
        <v>60</v>
      </c>
      <c r="B24" s="20" t="s">
        <v>61</v>
      </c>
      <c r="C24" s="20">
        <v>282</v>
      </c>
      <c r="D24" s="20">
        <v>174</v>
      </c>
      <c r="E24" s="20">
        <v>8</v>
      </c>
      <c r="F24" s="20">
        <v>191</v>
      </c>
      <c r="G24" s="20">
        <v>9</v>
      </c>
      <c r="H24" s="20">
        <f t="shared" si="0"/>
        <v>1</v>
      </c>
      <c r="I24" s="37">
        <f t="shared" si="1"/>
        <v>9.7701149425287362E-2</v>
      </c>
      <c r="J24" s="92">
        <f t="shared" si="2"/>
        <v>4.5977011494252873E-2</v>
      </c>
      <c r="K24" s="92">
        <f t="shared" si="3"/>
        <v>4.712041884816754E-2</v>
      </c>
    </row>
    <row r="25" spans="1:11" x14ac:dyDescent="0.25">
      <c r="A25" s="19" t="s">
        <v>62</v>
      </c>
      <c r="B25" s="19" t="s">
        <v>63</v>
      </c>
      <c r="C25" s="19">
        <v>266</v>
      </c>
      <c r="D25" s="19">
        <v>92</v>
      </c>
      <c r="E25" s="19">
        <v>4</v>
      </c>
      <c r="F25" s="19">
        <v>99</v>
      </c>
      <c r="G25" s="19">
        <v>5</v>
      </c>
      <c r="H25" s="19">
        <f t="shared" si="0"/>
        <v>1</v>
      </c>
      <c r="I25" s="36">
        <f t="shared" si="1"/>
        <v>7.6086956521739135E-2</v>
      </c>
      <c r="J25" s="93">
        <f t="shared" si="2"/>
        <v>4.3478260869565216E-2</v>
      </c>
      <c r="K25" s="93">
        <f t="shared" si="3"/>
        <v>5.0505050505050504E-2</v>
      </c>
    </row>
    <row r="26" spans="1:11" x14ac:dyDescent="0.25">
      <c r="A26" s="19" t="s">
        <v>52</v>
      </c>
      <c r="B26" s="19" t="s">
        <v>53</v>
      </c>
      <c r="C26" s="19">
        <v>802</v>
      </c>
      <c r="D26" s="19">
        <v>0</v>
      </c>
      <c r="E26" s="19">
        <v>0</v>
      </c>
      <c r="F26" s="19">
        <v>0</v>
      </c>
      <c r="G26" s="19">
        <v>0</v>
      </c>
      <c r="H26" s="19">
        <f t="shared" si="0"/>
        <v>0</v>
      </c>
      <c r="I26" s="36">
        <f t="shared" si="1"/>
        <v>0</v>
      </c>
      <c r="J26" s="93">
        <f t="shared" si="2"/>
        <v>0</v>
      </c>
      <c r="K26" s="93">
        <f t="shared" si="3"/>
        <v>0</v>
      </c>
    </row>
    <row r="27" spans="1:11" x14ac:dyDescent="0.25">
      <c r="A27" s="19" t="s">
        <v>56</v>
      </c>
      <c r="B27" s="19" t="s">
        <v>57</v>
      </c>
      <c r="C27" s="19">
        <v>312</v>
      </c>
      <c r="D27" s="19">
        <v>245</v>
      </c>
      <c r="E27" s="19">
        <v>1</v>
      </c>
      <c r="F27" s="19">
        <v>308</v>
      </c>
      <c r="G27" s="19">
        <v>1</v>
      </c>
      <c r="H27" s="19">
        <f t="shared" si="0"/>
        <v>0</v>
      </c>
      <c r="I27" s="36">
        <f t="shared" si="1"/>
        <v>0.25714285714285712</v>
      </c>
      <c r="J27" s="93">
        <f t="shared" si="2"/>
        <v>4.0816326530612249E-3</v>
      </c>
      <c r="K27" s="93">
        <f t="shared" si="3"/>
        <v>3.246753246753247E-3</v>
      </c>
    </row>
    <row r="28" spans="1:11" x14ac:dyDescent="0.25">
      <c r="A28" s="20" t="s">
        <v>52</v>
      </c>
      <c r="B28" s="20" t="s">
        <v>58</v>
      </c>
      <c r="C28" s="20">
        <v>652</v>
      </c>
      <c r="D28" s="20">
        <v>0</v>
      </c>
      <c r="E28" s="20">
        <v>0</v>
      </c>
      <c r="F28" s="20">
        <v>0</v>
      </c>
      <c r="G28" s="20">
        <v>0</v>
      </c>
      <c r="H28" s="20">
        <f t="shared" si="0"/>
        <v>0</v>
      </c>
      <c r="I28" s="37">
        <f t="shared" si="1"/>
        <v>0</v>
      </c>
      <c r="J28" s="92">
        <f t="shared" si="2"/>
        <v>0</v>
      </c>
      <c r="K28" s="92">
        <f t="shared" si="3"/>
        <v>0</v>
      </c>
    </row>
    <row r="29" spans="1:11" x14ac:dyDescent="0.25">
      <c r="A29" s="19" t="s">
        <v>52</v>
      </c>
      <c r="B29" s="19" t="s">
        <v>59</v>
      </c>
      <c r="C29" s="19">
        <v>219</v>
      </c>
      <c r="D29" s="19">
        <v>0</v>
      </c>
      <c r="E29" s="19">
        <v>0</v>
      </c>
      <c r="F29" s="19">
        <v>0</v>
      </c>
      <c r="G29" s="19">
        <v>0</v>
      </c>
      <c r="H29" s="19">
        <f t="shared" si="0"/>
        <v>0</v>
      </c>
      <c r="I29" s="36">
        <f t="shared" si="1"/>
        <v>0</v>
      </c>
      <c r="J29" s="93">
        <f t="shared" si="2"/>
        <v>0</v>
      </c>
      <c r="K29" s="93">
        <f t="shared" si="3"/>
        <v>0</v>
      </c>
    </row>
    <row r="30" spans="1:11" x14ac:dyDescent="0.25">
      <c r="A30" s="20" t="s">
        <v>52</v>
      </c>
      <c r="B30" s="20" t="s">
        <v>64</v>
      </c>
      <c r="C30" s="20">
        <v>75</v>
      </c>
      <c r="D30" s="20">
        <v>0</v>
      </c>
      <c r="E30" s="20">
        <v>0</v>
      </c>
      <c r="F30" s="20">
        <v>0</v>
      </c>
      <c r="G30" s="20">
        <v>0</v>
      </c>
      <c r="H30" s="20">
        <f t="shared" si="0"/>
        <v>0</v>
      </c>
      <c r="I30" s="37">
        <f t="shared" si="1"/>
        <v>0</v>
      </c>
      <c r="J30" s="92">
        <f t="shared" si="2"/>
        <v>0</v>
      </c>
      <c r="K30" s="92">
        <f t="shared" si="3"/>
        <v>0</v>
      </c>
    </row>
    <row r="31" spans="1:11" x14ac:dyDescent="0.25">
      <c r="A31" s="19" t="s">
        <v>65</v>
      </c>
      <c r="B31" s="19" t="s">
        <v>66</v>
      </c>
      <c r="C31" s="19">
        <v>269</v>
      </c>
      <c r="D31" s="19">
        <v>43</v>
      </c>
      <c r="E31" s="19">
        <v>0</v>
      </c>
      <c r="F31" s="19">
        <v>79</v>
      </c>
      <c r="G31" s="19">
        <v>0</v>
      </c>
      <c r="H31" s="19">
        <f t="shared" si="0"/>
        <v>0</v>
      </c>
      <c r="I31" s="36">
        <f t="shared" si="1"/>
        <v>0.83720930232558144</v>
      </c>
      <c r="J31" s="93">
        <f t="shared" si="2"/>
        <v>0</v>
      </c>
      <c r="K31" s="93">
        <f t="shared" si="3"/>
        <v>0</v>
      </c>
    </row>
    <row r="32" spans="1:11" x14ac:dyDescent="0.25">
      <c r="A32" s="20" t="s">
        <v>67</v>
      </c>
      <c r="B32" s="20" t="s">
        <v>68</v>
      </c>
      <c r="C32" s="20">
        <v>93</v>
      </c>
      <c r="D32" s="20">
        <v>6</v>
      </c>
      <c r="E32" s="20">
        <v>0</v>
      </c>
      <c r="F32" s="20">
        <v>26</v>
      </c>
      <c r="G32" s="20">
        <v>0</v>
      </c>
      <c r="H32" s="19">
        <f t="shared" si="0"/>
        <v>0</v>
      </c>
      <c r="I32" s="36">
        <f t="shared" si="1"/>
        <v>3.3333333333333335</v>
      </c>
      <c r="J32" s="93">
        <f t="shared" si="2"/>
        <v>0</v>
      </c>
      <c r="K32" s="93">
        <f t="shared" si="3"/>
        <v>0</v>
      </c>
    </row>
    <row r="33" spans="1:11" x14ac:dyDescent="0.25">
      <c r="A33" s="19" t="s">
        <v>52</v>
      </c>
      <c r="B33" s="19" t="s">
        <v>69</v>
      </c>
      <c r="C33" s="19">
        <v>122</v>
      </c>
      <c r="D33" s="19">
        <v>0</v>
      </c>
      <c r="E33" s="19">
        <v>0</v>
      </c>
      <c r="F33" s="19">
        <v>0</v>
      </c>
      <c r="G33" s="19">
        <v>0</v>
      </c>
      <c r="H33" s="20">
        <f t="shared" si="0"/>
        <v>0</v>
      </c>
      <c r="I33" s="37">
        <f t="shared" si="1"/>
        <v>0</v>
      </c>
      <c r="J33" s="92">
        <f t="shared" si="2"/>
        <v>0</v>
      </c>
      <c r="K33" s="92">
        <f t="shared" si="3"/>
        <v>0</v>
      </c>
    </row>
    <row r="34" spans="1:11" x14ac:dyDescent="0.25">
      <c r="A34" s="20" t="s">
        <v>52</v>
      </c>
      <c r="B34" s="20" t="s">
        <v>70</v>
      </c>
      <c r="C34" s="20">
        <v>77</v>
      </c>
      <c r="D34" s="20">
        <v>0</v>
      </c>
      <c r="E34" s="20">
        <v>0</v>
      </c>
      <c r="F34" s="20">
        <v>0</v>
      </c>
      <c r="G34" s="20">
        <v>0</v>
      </c>
      <c r="H34" s="19">
        <f t="shared" si="0"/>
        <v>0</v>
      </c>
      <c r="I34" s="36">
        <f t="shared" si="1"/>
        <v>0</v>
      </c>
      <c r="J34" s="93">
        <f t="shared" si="2"/>
        <v>0</v>
      </c>
      <c r="K34" s="93">
        <f t="shared" si="3"/>
        <v>0</v>
      </c>
    </row>
    <row r="35" spans="1:11" x14ac:dyDescent="0.25">
      <c r="A35" s="19" t="s">
        <v>52</v>
      </c>
      <c r="B35" s="19" t="s">
        <v>71</v>
      </c>
      <c r="C35" s="19">
        <v>84</v>
      </c>
      <c r="D35" s="19">
        <v>0</v>
      </c>
      <c r="E35" s="19">
        <v>0</v>
      </c>
      <c r="F35" s="19">
        <v>0</v>
      </c>
      <c r="G35" s="19">
        <v>0</v>
      </c>
      <c r="H35" s="19">
        <f t="shared" si="0"/>
        <v>0</v>
      </c>
      <c r="I35" s="36">
        <f t="shared" si="1"/>
        <v>0</v>
      </c>
      <c r="J35" s="93">
        <f t="shared" si="2"/>
        <v>0</v>
      </c>
      <c r="K35" s="93">
        <f t="shared" si="3"/>
        <v>0</v>
      </c>
    </row>
    <row r="36" spans="1:11" x14ac:dyDescent="0.25">
      <c r="A36" s="20" t="s">
        <v>52</v>
      </c>
      <c r="B36" s="20" t="s">
        <v>72</v>
      </c>
      <c r="C36" s="20">
        <v>134</v>
      </c>
      <c r="D36" s="20">
        <v>0</v>
      </c>
      <c r="E36" s="20">
        <v>0</v>
      </c>
      <c r="F36" s="20">
        <v>0</v>
      </c>
      <c r="G36" s="20">
        <v>0</v>
      </c>
      <c r="H36" s="19">
        <f t="shared" si="0"/>
        <v>0</v>
      </c>
      <c r="I36" s="36">
        <f t="shared" si="1"/>
        <v>0</v>
      </c>
      <c r="J36" s="93">
        <f t="shared" si="2"/>
        <v>0</v>
      </c>
      <c r="K36" s="93">
        <f t="shared" si="3"/>
        <v>0</v>
      </c>
    </row>
    <row r="37" spans="1:11" x14ac:dyDescent="0.25">
      <c r="A37" s="19" t="s">
        <v>52</v>
      </c>
      <c r="B37" s="19" t="s">
        <v>73</v>
      </c>
      <c r="C37" s="19">
        <v>35</v>
      </c>
      <c r="D37" s="19">
        <v>0</v>
      </c>
      <c r="E37" s="19">
        <v>0</v>
      </c>
      <c r="F37" s="19">
        <v>0</v>
      </c>
      <c r="G37" s="19">
        <v>0</v>
      </c>
      <c r="H37" s="20">
        <f t="shared" si="0"/>
        <v>0</v>
      </c>
      <c r="I37" s="37">
        <f t="shared" si="1"/>
        <v>0</v>
      </c>
      <c r="J37" s="92">
        <f t="shared" si="2"/>
        <v>0</v>
      </c>
      <c r="K37" s="92">
        <f t="shared" si="3"/>
        <v>0</v>
      </c>
    </row>
    <row r="38" spans="1:11" x14ac:dyDescent="0.25">
      <c r="A38" s="20" t="s">
        <v>54</v>
      </c>
      <c r="B38" s="20" t="s">
        <v>55</v>
      </c>
      <c r="C38" s="20">
        <v>949</v>
      </c>
      <c r="D38" s="20">
        <v>113</v>
      </c>
      <c r="E38" s="20">
        <v>6</v>
      </c>
      <c r="F38" s="20">
        <v>136</v>
      </c>
      <c r="G38" s="20">
        <v>3</v>
      </c>
      <c r="H38" s="20">
        <f t="shared" si="0"/>
        <v>-3</v>
      </c>
      <c r="I38" s="37">
        <f t="shared" si="1"/>
        <v>0.20353982300884957</v>
      </c>
      <c r="J38" s="92">
        <f t="shared" si="2"/>
        <v>5.3097345132743362E-2</v>
      </c>
      <c r="K38" s="92">
        <f t="shared" si="3"/>
        <v>2.2058823529411766E-2</v>
      </c>
    </row>
    <row r="39" spans="1:11" x14ac:dyDescent="0.25">
      <c r="A39" s="20" t="s">
        <v>34</v>
      </c>
      <c r="B39" s="20" t="s">
        <v>35</v>
      </c>
      <c r="C39" s="20">
        <v>1167</v>
      </c>
      <c r="D39" s="20">
        <v>249</v>
      </c>
      <c r="E39" s="20">
        <v>24</v>
      </c>
      <c r="F39" s="20">
        <v>257</v>
      </c>
      <c r="G39" s="20">
        <v>20</v>
      </c>
      <c r="H39" s="20">
        <f t="shared" si="0"/>
        <v>-4</v>
      </c>
      <c r="I39" s="37">
        <f t="shared" si="1"/>
        <v>3.2128514056224897E-2</v>
      </c>
      <c r="J39" s="92">
        <f t="shared" si="2"/>
        <v>9.6385542168674704E-2</v>
      </c>
      <c r="K39" s="92">
        <f t="shared" si="3"/>
        <v>7.7821011673151752E-2</v>
      </c>
    </row>
    <row r="40" spans="1:11" x14ac:dyDescent="0.25">
      <c r="A40" s="19" t="s">
        <v>36</v>
      </c>
      <c r="B40" s="19" t="s">
        <v>37</v>
      </c>
      <c r="C40" s="19">
        <v>1213</v>
      </c>
      <c r="D40" s="19">
        <v>259</v>
      </c>
      <c r="E40" s="19">
        <v>21</v>
      </c>
      <c r="F40" s="19">
        <v>269</v>
      </c>
      <c r="G40" s="19">
        <v>17</v>
      </c>
      <c r="H40" s="19">
        <f t="shared" si="0"/>
        <v>-4</v>
      </c>
      <c r="I40" s="36">
        <f t="shared" si="1"/>
        <v>3.8610038610038609E-2</v>
      </c>
      <c r="J40" s="93">
        <f t="shared" si="2"/>
        <v>8.1081081081081086E-2</v>
      </c>
      <c r="K40" s="93">
        <f t="shared" si="3"/>
        <v>6.3197026022304828E-2</v>
      </c>
    </row>
    <row r="41" spans="1:11" ht="15.75" x14ac:dyDescent="0.25">
      <c r="A41" s="22"/>
      <c r="B41" s="22" t="s">
        <v>74</v>
      </c>
      <c r="C41" s="27">
        <v>77712</v>
      </c>
      <c r="D41" s="27">
        <v>12888</v>
      </c>
      <c r="E41" s="27">
        <v>648</v>
      </c>
      <c r="F41" s="22">
        <v>13169</v>
      </c>
      <c r="G41" s="22">
        <v>970</v>
      </c>
      <c r="H41" s="22">
        <f>F41-D41</f>
        <v>281</v>
      </c>
      <c r="I41" s="38">
        <f>(F41-D41)/D41</f>
        <v>2.1803227808814402E-2</v>
      </c>
      <c r="J41" s="94">
        <f t="shared" si="2"/>
        <v>5.027932960893855E-2</v>
      </c>
      <c r="K41" s="94">
        <f t="shared" si="3"/>
        <v>7.3657832789125979E-2</v>
      </c>
    </row>
    <row r="51" spans="3:5" x14ac:dyDescent="0.25">
      <c r="C51" s="8"/>
      <c r="D51" s="8"/>
      <c r="E51" s="8"/>
    </row>
    <row r="52" spans="3:5" x14ac:dyDescent="0.25">
      <c r="C52" s="8"/>
      <c r="D52" s="8"/>
      <c r="E52" s="8"/>
    </row>
  </sheetData>
  <mergeCells count="2">
    <mergeCell ref="F1:G1"/>
    <mergeCell ref="H1:K1"/>
  </mergeCells>
  <conditionalFormatting sqref="I3:I40">
    <cfRule type="cellIs" dxfId="17" priority="2" operator="lessThan">
      <formula>$I$39</formula>
    </cfRule>
    <cfRule type="cellIs" dxfId="16" priority="5" operator="lessThan">
      <formula>$I$38</formula>
    </cfRule>
    <cfRule type="cellIs" dxfId="15" priority="43" operator="lessThan">
      <formula>$I$41</formula>
    </cfRule>
  </conditionalFormatting>
  <conditionalFormatting sqref="J3:J40">
    <cfRule type="cellIs" dxfId="14" priority="4" operator="lessThan">
      <formula>$J$38</formula>
    </cfRule>
    <cfRule type="cellIs" dxfId="13" priority="44" operator="lessThan">
      <formula>$J$41</formula>
    </cfRule>
  </conditionalFormatting>
  <conditionalFormatting sqref="K3:K40">
    <cfRule type="cellIs" dxfId="12" priority="1" operator="lessThan">
      <formula>$K$40</formula>
    </cfRule>
    <cfRule type="cellIs" dxfId="11" priority="3" operator="lessThan">
      <formula>$K$38</formula>
    </cfRule>
    <cfRule type="cellIs" dxfId="10" priority="45" operator="lessThan">
      <formula>$K$41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08E8-4193-4BD3-BD61-2905DB004C03}">
  <sheetPr>
    <tabColor rgb="FFFF0000"/>
  </sheetPr>
  <dimension ref="A1:K52"/>
  <sheetViews>
    <sheetView showGridLines="0" zoomScale="84" workbookViewId="0">
      <selection activeCell="F5" sqref="F4:J5"/>
    </sheetView>
  </sheetViews>
  <sheetFormatPr defaultRowHeight="15" x14ac:dyDescent="0.25"/>
  <cols>
    <col min="1" max="2" width="19.28515625" style="7" customWidth="1"/>
    <col min="3" max="3" width="14.5703125" style="7" bestFit="1" customWidth="1"/>
    <col min="4" max="4" width="29.28515625" style="7" bestFit="1" customWidth="1"/>
    <col min="5" max="5" width="7.85546875" style="7" bestFit="1" customWidth="1"/>
    <col min="6" max="6" width="17.7109375" bestFit="1" customWidth="1"/>
    <col min="7" max="7" width="11.5703125" customWidth="1"/>
    <col min="8" max="8" width="19.42578125" bestFit="1" customWidth="1"/>
    <col min="9" max="9" width="15.42578125" style="69" bestFit="1" customWidth="1"/>
    <col min="10" max="10" width="33.85546875" bestFit="1" customWidth="1"/>
    <col min="11" max="11" width="29.85546875" customWidth="1"/>
    <col min="12" max="73" width="8.7109375" bestFit="1" customWidth="1"/>
  </cols>
  <sheetData>
    <row r="1" spans="1:11" ht="18.75" x14ac:dyDescent="0.3">
      <c r="A1" s="56"/>
      <c r="B1" s="56"/>
      <c r="C1" s="54"/>
      <c r="D1" s="55" t="s">
        <v>137</v>
      </c>
      <c r="E1" s="55"/>
      <c r="F1" s="97" t="s">
        <v>124</v>
      </c>
      <c r="G1" s="97"/>
      <c r="H1" s="98" t="s">
        <v>145</v>
      </c>
      <c r="I1" s="98"/>
      <c r="J1" s="98"/>
      <c r="K1" s="98"/>
    </row>
    <row r="2" spans="1:11" ht="18.75" x14ac:dyDescent="0.3">
      <c r="A2" s="54" t="s">
        <v>0</v>
      </c>
      <c r="B2" s="54" t="s">
        <v>1</v>
      </c>
      <c r="C2" s="54" t="s">
        <v>4</v>
      </c>
      <c r="D2" s="54" t="s">
        <v>138</v>
      </c>
      <c r="E2" s="54" t="s">
        <v>139</v>
      </c>
      <c r="F2" s="82" t="s">
        <v>121</v>
      </c>
      <c r="G2" s="82" t="s">
        <v>139</v>
      </c>
      <c r="H2" s="63" t="s">
        <v>97</v>
      </c>
      <c r="I2" s="63" t="s">
        <v>87</v>
      </c>
      <c r="J2" s="9" t="s">
        <v>152</v>
      </c>
      <c r="K2" s="9" t="s">
        <v>153</v>
      </c>
    </row>
    <row r="3" spans="1:11" x14ac:dyDescent="0.25">
      <c r="A3" s="20" t="s">
        <v>6</v>
      </c>
      <c r="B3" s="20" t="s">
        <v>7</v>
      </c>
      <c r="C3" s="20">
        <v>21396</v>
      </c>
      <c r="D3" s="20">
        <v>4168</v>
      </c>
      <c r="E3" s="20">
        <v>688</v>
      </c>
      <c r="F3" s="20">
        <v>4216</v>
      </c>
      <c r="G3" s="20">
        <v>1705</v>
      </c>
      <c r="H3" s="20">
        <f t="shared" ref="H3:H40" si="0">G3-E3</f>
        <v>1017</v>
      </c>
      <c r="I3" s="36">
        <f t="shared" ref="I3:I40" si="1">IFERROR((F3-D3)/D3,0)</f>
        <v>1.1516314779270634E-2</v>
      </c>
      <c r="J3" s="35">
        <f t="shared" ref="J3:J41" si="2">IFERROR(E3/D3,0)</f>
        <v>0.16506717850287908</v>
      </c>
      <c r="K3" s="35">
        <f t="shared" ref="K3:K41" si="3">IFERROR(G3/F3,0)</f>
        <v>0.40441176470588236</v>
      </c>
    </row>
    <row r="4" spans="1:11" x14ac:dyDescent="0.25">
      <c r="A4" s="19" t="s">
        <v>12</v>
      </c>
      <c r="B4" s="19" t="s">
        <v>13</v>
      </c>
      <c r="C4" s="19">
        <v>4172</v>
      </c>
      <c r="D4" s="19">
        <v>701</v>
      </c>
      <c r="E4" s="19">
        <v>92</v>
      </c>
      <c r="F4" s="19">
        <v>698</v>
      </c>
      <c r="G4" s="19">
        <v>421</v>
      </c>
      <c r="H4" s="19">
        <f t="shared" si="0"/>
        <v>329</v>
      </c>
      <c r="I4" s="37">
        <f t="shared" si="1"/>
        <v>-4.2796005706134095E-3</v>
      </c>
      <c r="J4" s="23">
        <f t="shared" si="2"/>
        <v>0.13124108416547789</v>
      </c>
      <c r="K4" s="23">
        <f t="shared" si="3"/>
        <v>0.6031518624641834</v>
      </c>
    </row>
    <row r="5" spans="1:11" x14ac:dyDescent="0.25">
      <c r="A5" s="20" t="s">
        <v>14</v>
      </c>
      <c r="B5" s="20" t="s">
        <v>15</v>
      </c>
      <c r="C5" s="20">
        <v>2711</v>
      </c>
      <c r="D5" s="20">
        <v>461</v>
      </c>
      <c r="E5" s="20">
        <v>75</v>
      </c>
      <c r="F5" s="20">
        <v>531</v>
      </c>
      <c r="G5" s="20">
        <v>201</v>
      </c>
      <c r="H5" s="20">
        <f t="shared" si="0"/>
        <v>126</v>
      </c>
      <c r="I5" s="36">
        <f t="shared" si="1"/>
        <v>0.15184381778741865</v>
      </c>
      <c r="J5" s="35">
        <f t="shared" si="2"/>
        <v>0.16268980477223427</v>
      </c>
      <c r="K5" s="35">
        <f t="shared" si="3"/>
        <v>0.37853107344632769</v>
      </c>
    </row>
    <row r="6" spans="1:11" x14ac:dyDescent="0.25">
      <c r="A6" s="19" t="s">
        <v>8</v>
      </c>
      <c r="B6" s="19" t="s">
        <v>9</v>
      </c>
      <c r="C6" s="19">
        <v>7119</v>
      </c>
      <c r="D6" s="19">
        <v>945</v>
      </c>
      <c r="E6" s="19">
        <v>45</v>
      </c>
      <c r="F6" s="19">
        <v>905</v>
      </c>
      <c r="G6" s="19">
        <v>156</v>
      </c>
      <c r="H6" s="19">
        <f t="shared" si="0"/>
        <v>111</v>
      </c>
      <c r="I6" s="37">
        <f t="shared" si="1"/>
        <v>-4.2328042328042326E-2</v>
      </c>
      <c r="J6" s="23">
        <f t="shared" si="2"/>
        <v>4.7619047619047616E-2</v>
      </c>
      <c r="K6" s="23">
        <f t="shared" si="3"/>
        <v>0.17237569060773481</v>
      </c>
    </row>
    <row r="7" spans="1:11" x14ac:dyDescent="0.25">
      <c r="A7" s="20" t="s">
        <v>26</v>
      </c>
      <c r="B7" s="20" t="s">
        <v>27</v>
      </c>
      <c r="C7" s="20">
        <v>1874</v>
      </c>
      <c r="D7" s="20">
        <v>357</v>
      </c>
      <c r="E7" s="20">
        <v>29</v>
      </c>
      <c r="F7" s="20">
        <v>353</v>
      </c>
      <c r="G7" s="20">
        <v>126</v>
      </c>
      <c r="H7" s="20">
        <f t="shared" si="0"/>
        <v>97</v>
      </c>
      <c r="I7" s="36">
        <f t="shared" si="1"/>
        <v>-1.1204481792717087E-2</v>
      </c>
      <c r="J7" s="35">
        <f t="shared" si="2"/>
        <v>8.1232492997198882E-2</v>
      </c>
      <c r="K7" s="35">
        <f t="shared" si="3"/>
        <v>0.35694050991501414</v>
      </c>
    </row>
    <row r="8" spans="1:11" x14ac:dyDescent="0.25">
      <c r="A8" s="19" t="s">
        <v>18</v>
      </c>
      <c r="B8" s="19" t="s">
        <v>19</v>
      </c>
      <c r="C8" s="19">
        <v>2529</v>
      </c>
      <c r="D8" s="19">
        <v>400</v>
      </c>
      <c r="E8" s="19">
        <v>39</v>
      </c>
      <c r="F8" s="19">
        <v>427</v>
      </c>
      <c r="G8" s="19">
        <v>107</v>
      </c>
      <c r="H8" s="19">
        <f t="shared" si="0"/>
        <v>68</v>
      </c>
      <c r="I8" s="37">
        <f t="shared" si="1"/>
        <v>6.7500000000000004E-2</v>
      </c>
      <c r="J8" s="23">
        <f t="shared" si="2"/>
        <v>9.7500000000000003E-2</v>
      </c>
      <c r="K8" s="23">
        <f t="shared" si="3"/>
        <v>0.25058548009367682</v>
      </c>
    </row>
    <row r="9" spans="1:11" x14ac:dyDescent="0.25">
      <c r="A9" s="20" t="s">
        <v>28</v>
      </c>
      <c r="B9" s="20" t="s">
        <v>29</v>
      </c>
      <c r="C9" s="20">
        <v>4317</v>
      </c>
      <c r="D9" s="20">
        <v>439</v>
      </c>
      <c r="E9" s="20">
        <v>49</v>
      </c>
      <c r="F9" s="20">
        <v>459</v>
      </c>
      <c r="G9" s="20">
        <v>115</v>
      </c>
      <c r="H9" s="20">
        <f t="shared" si="0"/>
        <v>66</v>
      </c>
      <c r="I9" s="36">
        <f t="shared" si="1"/>
        <v>4.5558086560364468E-2</v>
      </c>
      <c r="J9" s="35">
        <f t="shared" si="2"/>
        <v>0.11161731207289294</v>
      </c>
      <c r="K9" s="35">
        <f t="shared" si="3"/>
        <v>0.25054466230936817</v>
      </c>
    </row>
    <row r="10" spans="1:11" x14ac:dyDescent="0.25">
      <c r="A10" s="19" t="s">
        <v>10</v>
      </c>
      <c r="B10" s="19" t="s">
        <v>11</v>
      </c>
      <c r="C10" s="19">
        <v>6371</v>
      </c>
      <c r="D10" s="19">
        <v>729</v>
      </c>
      <c r="E10" s="19">
        <v>43</v>
      </c>
      <c r="F10" s="19">
        <v>726</v>
      </c>
      <c r="G10" s="19">
        <v>107</v>
      </c>
      <c r="H10" s="19">
        <f t="shared" si="0"/>
        <v>64</v>
      </c>
      <c r="I10" s="37">
        <f t="shared" si="1"/>
        <v>-4.11522633744856E-3</v>
      </c>
      <c r="J10" s="23">
        <f t="shared" si="2"/>
        <v>5.8984910836762688E-2</v>
      </c>
      <c r="K10" s="23">
        <f t="shared" si="3"/>
        <v>0.14738292011019283</v>
      </c>
    </row>
    <row r="11" spans="1:11" x14ac:dyDescent="0.25">
      <c r="A11" s="20" t="s">
        <v>36</v>
      </c>
      <c r="B11" s="20" t="s">
        <v>37</v>
      </c>
      <c r="C11" s="20">
        <v>1213</v>
      </c>
      <c r="D11" s="20">
        <v>259</v>
      </c>
      <c r="E11" s="20">
        <v>16</v>
      </c>
      <c r="F11" s="20">
        <v>269</v>
      </c>
      <c r="G11" s="20">
        <v>71</v>
      </c>
      <c r="H11" s="20">
        <f t="shared" si="0"/>
        <v>55</v>
      </c>
      <c r="I11" s="36">
        <f t="shared" si="1"/>
        <v>3.8610038610038609E-2</v>
      </c>
      <c r="J11" s="35">
        <f t="shared" si="2"/>
        <v>6.1776061776061778E-2</v>
      </c>
      <c r="K11" s="35">
        <f t="shared" si="3"/>
        <v>0.26394052044609667</v>
      </c>
    </row>
    <row r="12" spans="1:11" x14ac:dyDescent="0.25">
      <c r="A12" s="19" t="s">
        <v>56</v>
      </c>
      <c r="B12" s="19" t="s">
        <v>57</v>
      </c>
      <c r="C12" s="19">
        <v>312</v>
      </c>
      <c r="D12" s="19">
        <v>245</v>
      </c>
      <c r="E12" s="19">
        <v>27</v>
      </c>
      <c r="F12" s="19">
        <v>308</v>
      </c>
      <c r="G12" s="19">
        <v>81</v>
      </c>
      <c r="H12" s="19">
        <f t="shared" si="0"/>
        <v>54</v>
      </c>
      <c r="I12" s="37">
        <f t="shared" si="1"/>
        <v>0.25714285714285712</v>
      </c>
      <c r="J12" s="23">
        <f t="shared" si="2"/>
        <v>0.11020408163265306</v>
      </c>
      <c r="K12" s="23">
        <f t="shared" si="3"/>
        <v>0.26298701298701299</v>
      </c>
    </row>
    <row r="13" spans="1:11" x14ac:dyDescent="0.25">
      <c r="A13" s="20" t="s">
        <v>20</v>
      </c>
      <c r="B13" s="20" t="s">
        <v>21</v>
      </c>
      <c r="C13" s="20">
        <v>1868</v>
      </c>
      <c r="D13" s="20">
        <v>211</v>
      </c>
      <c r="E13" s="20">
        <v>23</v>
      </c>
      <c r="F13" s="20">
        <v>211</v>
      </c>
      <c r="G13" s="20">
        <v>69</v>
      </c>
      <c r="H13" s="20">
        <f t="shared" si="0"/>
        <v>46</v>
      </c>
      <c r="I13" s="36">
        <f t="shared" si="1"/>
        <v>0</v>
      </c>
      <c r="J13" s="35">
        <f t="shared" si="2"/>
        <v>0.10900473933649289</v>
      </c>
      <c r="K13" s="35">
        <f t="shared" si="3"/>
        <v>0.32701421800947866</v>
      </c>
    </row>
    <row r="14" spans="1:11" x14ac:dyDescent="0.25">
      <c r="A14" s="19" t="s">
        <v>22</v>
      </c>
      <c r="B14" s="19" t="s">
        <v>23</v>
      </c>
      <c r="C14" s="19">
        <v>1566</v>
      </c>
      <c r="D14" s="19">
        <v>352</v>
      </c>
      <c r="E14" s="19">
        <v>32</v>
      </c>
      <c r="F14" s="19">
        <v>341</v>
      </c>
      <c r="G14" s="19">
        <v>78</v>
      </c>
      <c r="H14" s="19">
        <f t="shared" si="0"/>
        <v>46</v>
      </c>
      <c r="I14" s="37">
        <f t="shared" si="1"/>
        <v>-3.125E-2</v>
      </c>
      <c r="J14" s="23">
        <f t="shared" si="2"/>
        <v>9.0909090909090912E-2</v>
      </c>
      <c r="K14" s="23">
        <f t="shared" si="3"/>
        <v>0.22873900293255131</v>
      </c>
    </row>
    <row r="15" spans="1:11" x14ac:dyDescent="0.25">
      <c r="A15" s="20" t="s">
        <v>40</v>
      </c>
      <c r="B15" s="20" t="s">
        <v>41</v>
      </c>
      <c r="C15" s="20">
        <v>1410</v>
      </c>
      <c r="D15" s="20">
        <v>239</v>
      </c>
      <c r="E15" s="20">
        <v>10</v>
      </c>
      <c r="F15" s="20">
        <v>238</v>
      </c>
      <c r="G15" s="20">
        <v>50</v>
      </c>
      <c r="H15" s="20">
        <f t="shared" si="0"/>
        <v>40</v>
      </c>
      <c r="I15" s="36">
        <f t="shared" si="1"/>
        <v>-4.1841004184100415E-3</v>
      </c>
      <c r="J15" s="35">
        <f t="shared" si="2"/>
        <v>4.1841004184100417E-2</v>
      </c>
      <c r="K15" s="35">
        <f t="shared" si="3"/>
        <v>0.21008403361344538</v>
      </c>
    </row>
    <row r="16" spans="1:11" x14ac:dyDescent="0.25">
      <c r="A16" s="19" t="s">
        <v>42</v>
      </c>
      <c r="B16" s="19" t="s">
        <v>43</v>
      </c>
      <c r="C16" s="19">
        <v>1048</v>
      </c>
      <c r="D16" s="19">
        <v>276</v>
      </c>
      <c r="E16" s="19">
        <v>26</v>
      </c>
      <c r="F16" s="19">
        <v>276</v>
      </c>
      <c r="G16" s="19">
        <v>62</v>
      </c>
      <c r="H16" s="19">
        <f t="shared" si="0"/>
        <v>36</v>
      </c>
      <c r="I16" s="37">
        <f t="shared" si="1"/>
        <v>0</v>
      </c>
      <c r="J16" s="23">
        <f t="shared" si="2"/>
        <v>9.420289855072464E-2</v>
      </c>
      <c r="K16" s="23">
        <f t="shared" si="3"/>
        <v>0.22463768115942029</v>
      </c>
    </row>
    <row r="17" spans="1:11" x14ac:dyDescent="0.25">
      <c r="A17" s="20" t="s">
        <v>38</v>
      </c>
      <c r="B17" s="20" t="s">
        <v>39</v>
      </c>
      <c r="C17" s="20">
        <v>1087</v>
      </c>
      <c r="D17" s="20">
        <v>249</v>
      </c>
      <c r="E17" s="20">
        <v>17</v>
      </c>
      <c r="F17" s="20">
        <v>254</v>
      </c>
      <c r="G17" s="20">
        <v>47</v>
      </c>
      <c r="H17" s="20">
        <f t="shared" si="0"/>
        <v>30</v>
      </c>
      <c r="I17" s="36">
        <f t="shared" si="1"/>
        <v>2.0080321285140562E-2</v>
      </c>
      <c r="J17" s="35">
        <f t="shared" si="2"/>
        <v>6.8273092369477914E-2</v>
      </c>
      <c r="K17" s="35">
        <f t="shared" si="3"/>
        <v>0.18503937007874016</v>
      </c>
    </row>
    <row r="18" spans="1:11" x14ac:dyDescent="0.25">
      <c r="A18" s="19" t="s">
        <v>24</v>
      </c>
      <c r="B18" s="19" t="s">
        <v>25</v>
      </c>
      <c r="C18" s="19">
        <v>2381</v>
      </c>
      <c r="D18" s="19">
        <v>347</v>
      </c>
      <c r="E18" s="19">
        <v>17</v>
      </c>
      <c r="F18" s="19">
        <v>349</v>
      </c>
      <c r="G18" s="19">
        <v>45</v>
      </c>
      <c r="H18" s="19">
        <f t="shared" si="0"/>
        <v>28</v>
      </c>
      <c r="I18" s="37">
        <f t="shared" si="1"/>
        <v>5.763688760806916E-3</v>
      </c>
      <c r="J18" s="23">
        <f t="shared" si="2"/>
        <v>4.8991354466858789E-2</v>
      </c>
      <c r="K18" s="23">
        <f t="shared" si="3"/>
        <v>0.12893982808022922</v>
      </c>
    </row>
    <row r="19" spans="1:11" x14ac:dyDescent="0.25">
      <c r="A19" s="20" t="s">
        <v>16</v>
      </c>
      <c r="B19" s="20" t="s">
        <v>17</v>
      </c>
      <c r="C19" s="20">
        <v>4005</v>
      </c>
      <c r="D19" s="20">
        <v>501</v>
      </c>
      <c r="E19" s="20">
        <v>33</v>
      </c>
      <c r="F19" s="20">
        <v>431</v>
      </c>
      <c r="G19" s="20">
        <v>60</v>
      </c>
      <c r="H19" s="20">
        <f t="shared" si="0"/>
        <v>27</v>
      </c>
      <c r="I19" s="36">
        <f t="shared" si="1"/>
        <v>-0.13972055888223553</v>
      </c>
      <c r="J19" s="35">
        <f t="shared" si="2"/>
        <v>6.5868263473053898E-2</v>
      </c>
      <c r="K19" s="35">
        <f t="shared" si="3"/>
        <v>0.13921113689095127</v>
      </c>
    </row>
    <row r="20" spans="1:11" x14ac:dyDescent="0.25">
      <c r="A20" s="19" t="s">
        <v>34</v>
      </c>
      <c r="B20" s="19" t="s">
        <v>35</v>
      </c>
      <c r="C20" s="19">
        <v>1167</v>
      </c>
      <c r="D20" s="19">
        <v>249</v>
      </c>
      <c r="E20" s="19">
        <v>29</v>
      </c>
      <c r="F20" s="19">
        <v>257</v>
      </c>
      <c r="G20" s="19">
        <v>56</v>
      </c>
      <c r="H20" s="19">
        <f t="shared" si="0"/>
        <v>27</v>
      </c>
      <c r="I20" s="37">
        <f t="shared" si="1"/>
        <v>3.2128514056224897E-2</v>
      </c>
      <c r="J20" s="23">
        <f t="shared" si="2"/>
        <v>0.11646586345381527</v>
      </c>
      <c r="K20" s="23">
        <f t="shared" si="3"/>
        <v>0.21789883268482491</v>
      </c>
    </row>
    <row r="21" spans="1:11" x14ac:dyDescent="0.25">
      <c r="A21" s="20" t="s">
        <v>44</v>
      </c>
      <c r="B21" s="20" t="s">
        <v>45</v>
      </c>
      <c r="C21" s="20">
        <v>1659</v>
      </c>
      <c r="D21" s="20">
        <v>196</v>
      </c>
      <c r="E21" s="20">
        <v>18</v>
      </c>
      <c r="F21" s="20">
        <v>195</v>
      </c>
      <c r="G21" s="20">
        <v>43</v>
      </c>
      <c r="H21" s="20">
        <f t="shared" si="0"/>
        <v>25</v>
      </c>
      <c r="I21" s="36">
        <f t="shared" si="1"/>
        <v>-5.1020408163265302E-3</v>
      </c>
      <c r="J21" s="35">
        <f t="shared" si="2"/>
        <v>9.1836734693877556E-2</v>
      </c>
      <c r="K21" s="35">
        <f t="shared" si="3"/>
        <v>0.22051282051282051</v>
      </c>
    </row>
    <row r="22" spans="1:11" x14ac:dyDescent="0.25">
      <c r="A22" s="19" t="s">
        <v>48</v>
      </c>
      <c r="B22" s="19" t="s">
        <v>49</v>
      </c>
      <c r="C22" s="19">
        <v>796</v>
      </c>
      <c r="D22" s="19">
        <v>296</v>
      </c>
      <c r="E22" s="19">
        <v>30</v>
      </c>
      <c r="F22" s="19">
        <v>294</v>
      </c>
      <c r="G22" s="19">
        <v>54</v>
      </c>
      <c r="H22" s="19">
        <f t="shared" si="0"/>
        <v>24</v>
      </c>
      <c r="I22" s="37">
        <f t="shared" si="1"/>
        <v>-6.7567567567567571E-3</v>
      </c>
      <c r="J22" s="23">
        <f t="shared" si="2"/>
        <v>0.10135135135135136</v>
      </c>
      <c r="K22" s="23">
        <f t="shared" si="3"/>
        <v>0.18367346938775511</v>
      </c>
    </row>
    <row r="23" spans="1:11" x14ac:dyDescent="0.25">
      <c r="A23" s="20" t="s">
        <v>50</v>
      </c>
      <c r="B23" s="20" t="s">
        <v>51</v>
      </c>
      <c r="C23" s="20">
        <v>940</v>
      </c>
      <c r="D23" s="20">
        <v>286</v>
      </c>
      <c r="E23" s="20">
        <v>18</v>
      </c>
      <c r="F23" s="20">
        <v>329</v>
      </c>
      <c r="G23" s="20">
        <v>42</v>
      </c>
      <c r="H23" s="20">
        <f t="shared" si="0"/>
        <v>24</v>
      </c>
      <c r="I23" s="36">
        <f t="shared" si="1"/>
        <v>0.15034965034965034</v>
      </c>
      <c r="J23" s="35">
        <f t="shared" si="2"/>
        <v>6.2937062937062943E-2</v>
      </c>
      <c r="K23" s="35">
        <f t="shared" si="3"/>
        <v>0.1276595744680851</v>
      </c>
    </row>
    <row r="24" spans="1:11" x14ac:dyDescent="0.25">
      <c r="A24" s="19" t="s">
        <v>32</v>
      </c>
      <c r="B24" s="19" t="s">
        <v>33</v>
      </c>
      <c r="C24" s="19">
        <v>2085</v>
      </c>
      <c r="D24" s="19">
        <v>333</v>
      </c>
      <c r="E24" s="19">
        <v>12</v>
      </c>
      <c r="F24" s="19">
        <v>346</v>
      </c>
      <c r="G24" s="19">
        <v>33</v>
      </c>
      <c r="H24" s="19">
        <f t="shared" si="0"/>
        <v>21</v>
      </c>
      <c r="I24" s="37">
        <f t="shared" si="1"/>
        <v>3.903903903903904E-2</v>
      </c>
      <c r="J24" s="23">
        <f t="shared" si="2"/>
        <v>3.6036036036036036E-2</v>
      </c>
      <c r="K24" s="23">
        <f t="shared" si="3"/>
        <v>9.5375722543352595E-2</v>
      </c>
    </row>
    <row r="25" spans="1:11" x14ac:dyDescent="0.25">
      <c r="A25" s="20" t="s">
        <v>60</v>
      </c>
      <c r="B25" s="20" t="s">
        <v>61</v>
      </c>
      <c r="C25" s="20">
        <v>282</v>
      </c>
      <c r="D25" s="20">
        <v>174</v>
      </c>
      <c r="E25" s="20">
        <v>6</v>
      </c>
      <c r="F25" s="20">
        <v>191</v>
      </c>
      <c r="G25" s="20">
        <v>27</v>
      </c>
      <c r="H25" s="20">
        <f t="shared" si="0"/>
        <v>21</v>
      </c>
      <c r="I25" s="36">
        <f t="shared" si="1"/>
        <v>9.7701149425287362E-2</v>
      </c>
      <c r="J25" s="35">
        <f t="shared" si="2"/>
        <v>3.4482758620689655E-2</v>
      </c>
      <c r="K25" s="35">
        <f t="shared" si="3"/>
        <v>0.14136125654450263</v>
      </c>
    </row>
    <row r="26" spans="1:11" x14ac:dyDescent="0.25">
      <c r="A26" s="19" t="s">
        <v>54</v>
      </c>
      <c r="B26" s="19" t="s">
        <v>55</v>
      </c>
      <c r="C26" s="19">
        <v>949</v>
      </c>
      <c r="D26" s="19">
        <v>113</v>
      </c>
      <c r="E26" s="19">
        <v>10</v>
      </c>
      <c r="F26" s="19">
        <v>136</v>
      </c>
      <c r="G26" s="19">
        <v>28</v>
      </c>
      <c r="H26" s="19">
        <f t="shared" si="0"/>
        <v>18</v>
      </c>
      <c r="I26" s="37">
        <f t="shared" si="1"/>
        <v>0.20353982300884957</v>
      </c>
      <c r="J26" s="23">
        <f t="shared" si="2"/>
        <v>8.8495575221238937E-2</v>
      </c>
      <c r="K26" s="23">
        <f t="shared" si="3"/>
        <v>0.20588235294117646</v>
      </c>
    </row>
    <row r="27" spans="1:11" x14ac:dyDescent="0.25">
      <c r="A27" s="20" t="s">
        <v>67</v>
      </c>
      <c r="B27" s="20" t="s">
        <v>68</v>
      </c>
      <c r="C27" s="20">
        <v>93</v>
      </c>
      <c r="D27" s="20">
        <v>6</v>
      </c>
      <c r="E27" s="20">
        <v>0</v>
      </c>
      <c r="F27" s="20">
        <v>26</v>
      </c>
      <c r="G27" s="20">
        <v>6</v>
      </c>
      <c r="H27" s="20">
        <f t="shared" si="0"/>
        <v>6</v>
      </c>
      <c r="I27" s="36">
        <f t="shared" si="1"/>
        <v>3.3333333333333335</v>
      </c>
      <c r="J27" s="35">
        <f t="shared" si="2"/>
        <v>0</v>
      </c>
      <c r="K27" s="35">
        <f t="shared" si="3"/>
        <v>0.23076923076923078</v>
      </c>
    </row>
    <row r="28" spans="1:11" x14ac:dyDescent="0.25">
      <c r="A28" s="19" t="s">
        <v>46</v>
      </c>
      <c r="B28" s="19" t="s">
        <v>47</v>
      </c>
      <c r="C28" s="19">
        <v>683</v>
      </c>
      <c r="D28" s="19">
        <v>123</v>
      </c>
      <c r="E28" s="19">
        <v>8</v>
      </c>
      <c r="F28" s="19">
        <v>124</v>
      </c>
      <c r="G28" s="19">
        <v>11</v>
      </c>
      <c r="H28" s="19">
        <f t="shared" si="0"/>
        <v>3</v>
      </c>
      <c r="I28" s="37">
        <f t="shared" si="1"/>
        <v>8.130081300813009E-3</v>
      </c>
      <c r="J28" s="23">
        <f t="shared" si="2"/>
        <v>6.5040650406504072E-2</v>
      </c>
      <c r="K28" s="23">
        <f t="shared" si="3"/>
        <v>8.8709677419354843E-2</v>
      </c>
    </row>
    <row r="29" spans="1:11" x14ac:dyDescent="0.25">
      <c r="A29" s="20" t="s">
        <v>65</v>
      </c>
      <c r="B29" s="20" t="s">
        <v>66</v>
      </c>
      <c r="C29" s="20">
        <v>269</v>
      </c>
      <c r="D29" s="20">
        <v>43</v>
      </c>
      <c r="E29" s="20">
        <v>1</v>
      </c>
      <c r="F29" s="20">
        <v>79</v>
      </c>
      <c r="G29" s="20">
        <v>3</v>
      </c>
      <c r="H29" s="20">
        <f t="shared" si="0"/>
        <v>2</v>
      </c>
      <c r="I29" s="36">
        <f t="shared" si="1"/>
        <v>0.83720930232558144</v>
      </c>
      <c r="J29" s="35">
        <f t="shared" si="2"/>
        <v>2.3255813953488372E-2</v>
      </c>
      <c r="K29" s="35">
        <f t="shared" si="3"/>
        <v>3.7974683544303799E-2</v>
      </c>
    </row>
    <row r="30" spans="1:11" x14ac:dyDescent="0.25">
      <c r="A30" s="19" t="s">
        <v>62</v>
      </c>
      <c r="B30" s="19" t="s">
        <v>63</v>
      </c>
      <c r="C30" s="19">
        <v>266</v>
      </c>
      <c r="D30" s="19">
        <v>92</v>
      </c>
      <c r="E30" s="19">
        <v>8</v>
      </c>
      <c r="F30" s="19">
        <v>99</v>
      </c>
      <c r="G30" s="19">
        <v>9</v>
      </c>
      <c r="H30" s="19">
        <f t="shared" si="0"/>
        <v>1</v>
      </c>
      <c r="I30" s="37">
        <f t="shared" si="1"/>
        <v>7.6086956521739135E-2</v>
      </c>
      <c r="J30" s="23">
        <f t="shared" si="2"/>
        <v>8.6956521739130432E-2</v>
      </c>
      <c r="K30" s="23">
        <f t="shared" si="3"/>
        <v>9.0909090909090912E-2</v>
      </c>
    </row>
    <row r="31" spans="1:11" x14ac:dyDescent="0.25">
      <c r="A31" s="20" t="s">
        <v>30</v>
      </c>
      <c r="B31" s="20" t="s">
        <v>31</v>
      </c>
      <c r="C31" s="20">
        <v>944</v>
      </c>
      <c r="D31" s="20">
        <v>98</v>
      </c>
      <c r="E31" s="20">
        <v>6</v>
      </c>
      <c r="F31" s="20">
        <v>101</v>
      </c>
      <c r="G31" s="20">
        <v>6</v>
      </c>
      <c r="H31" s="20">
        <f t="shared" si="0"/>
        <v>0</v>
      </c>
      <c r="I31" s="36">
        <f t="shared" si="1"/>
        <v>3.0612244897959183E-2</v>
      </c>
      <c r="J31" s="35">
        <f t="shared" si="2"/>
        <v>6.1224489795918366E-2</v>
      </c>
      <c r="K31" s="35">
        <f t="shared" si="3"/>
        <v>5.9405940594059403E-2</v>
      </c>
    </row>
    <row r="32" spans="1:11" x14ac:dyDescent="0.25">
      <c r="A32" s="19" t="s">
        <v>52</v>
      </c>
      <c r="B32" s="19" t="s">
        <v>53</v>
      </c>
      <c r="C32" s="19">
        <v>802</v>
      </c>
      <c r="D32" s="19">
        <v>0</v>
      </c>
      <c r="E32" s="19">
        <v>0</v>
      </c>
      <c r="F32" s="19">
        <v>0</v>
      </c>
      <c r="G32" s="19">
        <v>0</v>
      </c>
      <c r="H32" s="19">
        <f t="shared" si="0"/>
        <v>0</v>
      </c>
      <c r="I32" s="37">
        <f t="shared" si="1"/>
        <v>0</v>
      </c>
      <c r="J32" s="23">
        <f t="shared" si="2"/>
        <v>0</v>
      </c>
      <c r="K32" s="23">
        <f t="shared" si="3"/>
        <v>0</v>
      </c>
    </row>
    <row r="33" spans="1:11" x14ac:dyDescent="0.25">
      <c r="A33" s="20" t="s">
        <v>52</v>
      </c>
      <c r="B33" s="20" t="s">
        <v>58</v>
      </c>
      <c r="C33" s="20">
        <v>652</v>
      </c>
      <c r="D33" s="20">
        <v>0</v>
      </c>
      <c r="E33" s="20">
        <v>0</v>
      </c>
      <c r="F33" s="20">
        <v>0</v>
      </c>
      <c r="G33" s="20">
        <v>0</v>
      </c>
      <c r="H33" s="20">
        <f t="shared" si="0"/>
        <v>0</v>
      </c>
      <c r="I33" s="36">
        <f t="shared" si="1"/>
        <v>0</v>
      </c>
      <c r="J33" s="35">
        <f t="shared" si="2"/>
        <v>0</v>
      </c>
      <c r="K33" s="35">
        <f t="shared" si="3"/>
        <v>0</v>
      </c>
    </row>
    <row r="34" spans="1:11" x14ac:dyDescent="0.25">
      <c r="A34" s="19" t="s">
        <v>52</v>
      </c>
      <c r="B34" s="19" t="s">
        <v>59</v>
      </c>
      <c r="C34" s="19">
        <v>219</v>
      </c>
      <c r="D34" s="19">
        <v>0</v>
      </c>
      <c r="E34" s="19">
        <v>0</v>
      </c>
      <c r="F34" s="19">
        <v>0</v>
      </c>
      <c r="G34" s="19">
        <v>0</v>
      </c>
      <c r="H34" s="19">
        <f t="shared" si="0"/>
        <v>0</v>
      </c>
      <c r="I34" s="37">
        <f t="shared" si="1"/>
        <v>0</v>
      </c>
      <c r="J34" s="23">
        <f t="shared" si="2"/>
        <v>0</v>
      </c>
      <c r="K34" s="23">
        <f t="shared" si="3"/>
        <v>0</v>
      </c>
    </row>
    <row r="35" spans="1:11" x14ac:dyDescent="0.25">
      <c r="A35" s="20" t="s">
        <v>52</v>
      </c>
      <c r="B35" s="20" t="s">
        <v>64</v>
      </c>
      <c r="C35" s="20">
        <v>75</v>
      </c>
      <c r="D35" s="20">
        <v>0</v>
      </c>
      <c r="E35" s="20">
        <v>0</v>
      </c>
      <c r="F35" s="20">
        <v>0</v>
      </c>
      <c r="G35" s="20">
        <v>0</v>
      </c>
      <c r="H35" s="20">
        <f t="shared" si="0"/>
        <v>0</v>
      </c>
      <c r="I35" s="36">
        <f t="shared" si="1"/>
        <v>0</v>
      </c>
      <c r="J35" s="35">
        <f t="shared" si="2"/>
        <v>0</v>
      </c>
      <c r="K35" s="35">
        <f t="shared" si="3"/>
        <v>0</v>
      </c>
    </row>
    <row r="36" spans="1:11" x14ac:dyDescent="0.25">
      <c r="A36" s="19" t="s">
        <v>52</v>
      </c>
      <c r="B36" s="19" t="s">
        <v>69</v>
      </c>
      <c r="C36" s="19">
        <v>122</v>
      </c>
      <c r="D36" s="19">
        <v>0</v>
      </c>
      <c r="E36" s="19">
        <v>0</v>
      </c>
      <c r="F36" s="19">
        <v>0</v>
      </c>
      <c r="G36" s="19">
        <v>0</v>
      </c>
      <c r="H36" s="19">
        <f t="shared" si="0"/>
        <v>0</v>
      </c>
      <c r="I36" s="37">
        <f t="shared" si="1"/>
        <v>0</v>
      </c>
      <c r="J36" s="23">
        <f t="shared" si="2"/>
        <v>0</v>
      </c>
      <c r="K36" s="23">
        <f t="shared" si="3"/>
        <v>0</v>
      </c>
    </row>
    <row r="37" spans="1:11" x14ac:dyDescent="0.25">
      <c r="A37" s="20" t="s">
        <v>52</v>
      </c>
      <c r="B37" s="20" t="s">
        <v>70</v>
      </c>
      <c r="C37" s="20">
        <v>77</v>
      </c>
      <c r="D37" s="20">
        <v>0</v>
      </c>
      <c r="E37" s="20">
        <v>0</v>
      </c>
      <c r="F37" s="20">
        <v>0</v>
      </c>
      <c r="G37" s="20">
        <v>0</v>
      </c>
      <c r="H37" s="20">
        <f t="shared" si="0"/>
        <v>0</v>
      </c>
      <c r="I37" s="36">
        <f t="shared" si="1"/>
        <v>0</v>
      </c>
      <c r="J37" s="35">
        <f t="shared" si="2"/>
        <v>0</v>
      </c>
      <c r="K37" s="35">
        <f t="shared" si="3"/>
        <v>0</v>
      </c>
    </row>
    <row r="38" spans="1:11" x14ac:dyDescent="0.25">
      <c r="A38" s="19" t="s">
        <v>52</v>
      </c>
      <c r="B38" s="19" t="s">
        <v>71</v>
      </c>
      <c r="C38" s="19">
        <v>84</v>
      </c>
      <c r="D38" s="19">
        <v>0</v>
      </c>
      <c r="E38" s="19">
        <v>0</v>
      </c>
      <c r="F38" s="19">
        <v>0</v>
      </c>
      <c r="G38" s="19">
        <v>0</v>
      </c>
      <c r="H38" s="19">
        <f t="shared" si="0"/>
        <v>0</v>
      </c>
      <c r="I38" s="37">
        <f t="shared" si="1"/>
        <v>0</v>
      </c>
      <c r="J38" s="23">
        <f t="shared" si="2"/>
        <v>0</v>
      </c>
      <c r="K38" s="23">
        <f t="shared" si="3"/>
        <v>0</v>
      </c>
    </row>
    <row r="39" spans="1:11" x14ac:dyDescent="0.25">
      <c r="A39" s="20" t="s">
        <v>52</v>
      </c>
      <c r="B39" s="20" t="s">
        <v>72</v>
      </c>
      <c r="C39" s="20">
        <v>134</v>
      </c>
      <c r="D39" s="20">
        <v>0</v>
      </c>
      <c r="E39" s="20">
        <v>0</v>
      </c>
      <c r="F39" s="20">
        <v>0</v>
      </c>
      <c r="G39" s="20">
        <v>0</v>
      </c>
      <c r="H39" s="20">
        <f t="shared" si="0"/>
        <v>0</v>
      </c>
      <c r="I39" s="36">
        <f t="shared" si="1"/>
        <v>0</v>
      </c>
      <c r="J39" s="35">
        <f t="shared" si="2"/>
        <v>0</v>
      </c>
      <c r="K39" s="35">
        <f t="shared" si="3"/>
        <v>0</v>
      </c>
    </row>
    <row r="40" spans="1:11" x14ac:dyDescent="0.25">
      <c r="A40" s="19" t="s">
        <v>52</v>
      </c>
      <c r="B40" s="19" t="s">
        <v>73</v>
      </c>
      <c r="C40" s="19">
        <v>35</v>
      </c>
      <c r="D40" s="19">
        <v>0</v>
      </c>
      <c r="E40" s="19">
        <v>0</v>
      </c>
      <c r="F40" s="19">
        <v>0</v>
      </c>
      <c r="G40" s="19">
        <v>0</v>
      </c>
      <c r="H40" s="19">
        <f t="shared" si="0"/>
        <v>0</v>
      </c>
      <c r="I40" s="37">
        <f t="shared" si="1"/>
        <v>0</v>
      </c>
      <c r="J40" s="23">
        <f t="shared" si="2"/>
        <v>0</v>
      </c>
      <c r="K40" s="23">
        <f t="shared" si="3"/>
        <v>0</v>
      </c>
    </row>
    <row r="41" spans="1:11" ht="15.75" x14ac:dyDescent="0.25">
      <c r="A41" s="22"/>
      <c r="B41" s="22" t="s">
        <v>74</v>
      </c>
      <c r="C41" s="27">
        <v>77712</v>
      </c>
      <c r="D41" s="27">
        <v>12888</v>
      </c>
      <c r="E41" s="27">
        <v>1407</v>
      </c>
      <c r="F41" s="22">
        <v>13169</v>
      </c>
      <c r="G41" s="22">
        <v>3819</v>
      </c>
      <c r="H41" s="22">
        <f>SUM(H3:H40)</f>
        <v>2412</v>
      </c>
      <c r="I41" s="38">
        <f>(F41-D41)/D41</f>
        <v>2.1803227808814402E-2</v>
      </c>
      <c r="J41" s="68">
        <f t="shared" si="2"/>
        <v>0.10917132216014898</v>
      </c>
      <c r="K41" s="68">
        <f t="shared" si="3"/>
        <v>0.2899992406408991</v>
      </c>
    </row>
    <row r="51" spans="3:5" x14ac:dyDescent="0.25">
      <c r="C51" s="8"/>
      <c r="D51" s="8"/>
      <c r="E51" s="8"/>
    </row>
    <row r="52" spans="3:5" x14ac:dyDescent="0.25">
      <c r="C52" s="8"/>
      <c r="D52" s="8"/>
      <c r="E52" s="8"/>
    </row>
  </sheetData>
  <mergeCells count="2">
    <mergeCell ref="H1:K1"/>
    <mergeCell ref="F1:G1"/>
  </mergeCells>
  <conditionalFormatting sqref="I3:I40">
    <cfRule type="cellIs" dxfId="9" priority="16" operator="lessThan">
      <formula>$I$39</formula>
    </cfRule>
    <cfRule type="cellIs" dxfId="8" priority="19" operator="lessThan">
      <formula>$I$38</formula>
    </cfRule>
    <cfRule type="cellIs" dxfId="7" priority="63" operator="lessThan">
      <formula>$I$41</formula>
    </cfRule>
  </conditionalFormatting>
  <conditionalFormatting sqref="J3:J40">
    <cfRule type="cellIs" dxfId="6" priority="18" operator="lessThan">
      <formula>$J$38</formula>
    </cfRule>
    <cfRule type="cellIs" dxfId="5" priority="64" operator="lessThan">
      <formula>$J$41</formula>
    </cfRule>
  </conditionalFormatting>
  <conditionalFormatting sqref="K3:K40">
    <cfRule type="cellIs" dxfId="4" priority="15" operator="lessThan">
      <formula>$K$40</formula>
    </cfRule>
    <cfRule type="cellIs" dxfId="3" priority="17" operator="lessThan">
      <formula>$K$38</formula>
    </cfRule>
    <cfRule type="cellIs" dxfId="2" priority="65" operator="lessThan">
      <formula>$K$41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2E61B-5706-415E-919C-4E1D6C15D7D4}">
  <dimension ref="A1:G41"/>
  <sheetViews>
    <sheetView showGridLines="0" workbookViewId="0">
      <pane xSplit="3" ySplit="2" topLeftCell="D18" activePane="bottomRight" state="frozen"/>
      <selection pane="topRight" activeCell="F1" sqref="F1"/>
      <selection pane="bottomLeft" activeCell="A3" sqref="A3"/>
      <selection pane="bottomRight" activeCell="E41" sqref="E41"/>
    </sheetView>
  </sheetViews>
  <sheetFormatPr defaultColWidth="9.140625" defaultRowHeight="15" x14ac:dyDescent="0.25"/>
  <cols>
    <col min="1" max="2" width="19.28515625" style="7" customWidth="1"/>
    <col min="3" max="3" width="22.140625" style="7" bestFit="1" customWidth="1"/>
    <col min="4" max="7" width="19.28515625" style="7" customWidth="1"/>
  </cols>
  <sheetData>
    <row r="1" spans="1:7" ht="18.75" x14ac:dyDescent="0.3">
      <c r="A1" s="1"/>
      <c r="B1" s="59"/>
      <c r="C1" s="83" t="s">
        <v>155</v>
      </c>
      <c r="D1" s="59" t="s">
        <v>135</v>
      </c>
      <c r="E1" s="83" t="s">
        <v>93</v>
      </c>
      <c r="F1" s="83" t="s">
        <v>134</v>
      </c>
      <c r="G1" s="83" t="s">
        <v>95</v>
      </c>
    </row>
    <row r="2" spans="1:7" ht="18.75" x14ac:dyDescent="0.3">
      <c r="A2" s="3" t="s">
        <v>0</v>
      </c>
      <c r="B2" s="3" t="s">
        <v>1</v>
      </c>
      <c r="C2" s="3" t="s">
        <v>154</v>
      </c>
      <c r="D2" s="3" t="s">
        <v>154</v>
      </c>
      <c r="E2" s="3" t="s">
        <v>154</v>
      </c>
      <c r="F2" s="3" t="s">
        <v>154</v>
      </c>
      <c r="G2" s="3" t="s">
        <v>154</v>
      </c>
    </row>
    <row r="3" spans="1:7" x14ac:dyDescent="0.25">
      <c r="A3" s="19" t="s">
        <v>48</v>
      </c>
      <c r="B3" s="19" t="s">
        <v>49</v>
      </c>
      <c r="C3" s="19">
        <v>294</v>
      </c>
      <c r="D3" s="19">
        <v>284</v>
      </c>
      <c r="E3" s="19">
        <v>174</v>
      </c>
      <c r="F3" s="50">
        <f t="shared" ref="F3:F31" si="0">D3/C3</f>
        <v>0.96598639455782309</v>
      </c>
      <c r="G3" s="50">
        <f t="shared" ref="G3:G31" si="1">E3/C3</f>
        <v>0.59183673469387754</v>
      </c>
    </row>
    <row r="4" spans="1:7" x14ac:dyDescent="0.25">
      <c r="A4" s="20" t="s">
        <v>65</v>
      </c>
      <c r="B4" s="20" t="s">
        <v>66</v>
      </c>
      <c r="C4" s="20">
        <v>79</v>
      </c>
      <c r="D4" s="20">
        <v>74</v>
      </c>
      <c r="E4" s="20">
        <v>41</v>
      </c>
      <c r="F4" s="51">
        <f t="shared" si="0"/>
        <v>0.93670886075949367</v>
      </c>
      <c r="G4" s="51">
        <f t="shared" si="1"/>
        <v>0.51898734177215189</v>
      </c>
    </row>
    <row r="5" spans="1:7" x14ac:dyDescent="0.25">
      <c r="A5" s="19" t="s">
        <v>67</v>
      </c>
      <c r="B5" s="19" t="s">
        <v>68</v>
      </c>
      <c r="C5" s="19">
        <v>26</v>
      </c>
      <c r="D5" s="19">
        <v>24</v>
      </c>
      <c r="E5" s="19">
        <v>24</v>
      </c>
      <c r="F5" s="50">
        <f t="shared" si="0"/>
        <v>0.92307692307692313</v>
      </c>
      <c r="G5" s="50">
        <f t="shared" si="1"/>
        <v>0.92307692307692313</v>
      </c>
    </row>
    <row r="6" spans="1:7" x14ac:dyDescent="0.25">
      <c r="A6" s="20" t="s">
        <v>56</v>
      </c>
      <c r="B6" s="20" t="s">
        <v>57</v>
      </c>
      <c r="C6" s="20">
        <v>308</v>
      </c>
      <c r="D6" s="20">
        <v>281</v>
      </c>
      <c r="E6" s="20">
        <v>265</v>
      </c>
      <c r="F6" s="51">
        <f t="shared" si="0"/>
        <v>0.91233766233766234</v>
      </c>
      <c r="G6" s="51">
        <f t="shared" si="1"/>
        <v>0.86038961038961037</v>
      </c>
    </row>
    <row r="7" spans="1:7" x14ac:dyDescent="0.25">
      <c r="A7" s="19" t="s">
        <v>54</v>
      </c>
      <c r="B7" s="19" t="s">
        <v>55</v>
      </c>
      <c r="C7" s="19">
        <v>136</v>
      </c>
      <c r="D7" s="19">
        <v>123</v>
      </c>
      <c r="E7" s="19">
        <v>51</v>
      </c>
      <c r="F7" s="50">
        <f t="shared" si="0"/>
        <v>0.90441176470588236</v>
      </c>
      <c r="G7" s="50">
        <f t="shared" si="1"/>
        <v>0.375</v>
      </c>
    </row>
    <row r="8" spans="1:7" x14ac:dyDescent="0.25">
      <c r="A8" s="20" t="s">
        <v>50</v>
      </c>
      <c r="B8" s="20" t="s">
        <v>51</v>
      </c>
      <c r="C8" s="20">
        <v>329</v>
      </c>
      <c r="D8" s="20">
        <v>295</v>
      </c>
      <c r="E8" s="20">
        <v>125</v>
      </c>
      <c r="F8" s="51">
        <f t="shared" si="0"/>
        <v>0.89665653495440734</v>
      </c>
      <c r="G8" s="51">
        <f t="shared" si="1"/>
        <v>0.37993920972644379</v>
      </c>
    </row>
    <row r="9" spans="1:7" x14ac:dyDescent="0.25">
      <c r="A9" s="19" t="s">
        <v>28</v>
      </c>
      <c r="B9" s="19" t="s">
        <v>29</v>
      </c>
      <c r="C9" s="19">
        <v>459</v>
      </c>
      <c r="D9" s="19">
        <v>410</v>
      </c>
      <c r="E9" s="19">
        <v>241</v>
      </c>
      <c r="F9" s="50">
        <f t="shared" si="0"/>
        <v>0.89324618736383443</v>
      </c>
      <c r="G9" s="50">
        <f t="shared" si="1"/>
        <v>0.52505446623093677</v>
      </c>
    </row>
    <row r="10" spans="1:7" x14ac:dyDescent="0.25">
      <c r="A10" s="20" t="s">
        <v>40</v>
      </c>
      <c r="B10" s="20" t="s">
        <v>41</v>
      </c>
      <c r="C10" s="20">
        <v>238</v>
      </c>
      <c r="D10" s="20">
        <v>212</v>
      </c>
      <c r="E10" s="20">
        <v>113</v>
      </c>
      <c r="F10" s="51">
        <f t="shared" si="0"/>
        <v>0.89075630252100846</v>
      </c>
      <c r="G10" s="51">
        <f t="shared" si="1"/>
        <v>0.47478991596638653</v>
      </c>
    </row>
    <row r="11" spans="1:7" x14ac:dyDescent="0.25">
      <c r="A11" s="19" t="s">
        <v>60</v>
      </c>
      <c r="B11" s="19" t="s">
        <v>61</v>
      </c>
      <c r="C11" s="19">
        <v>191</v>
      </c>
      <c r="D11" s="19">
        <v>168</v>
      </c>
      <c r="E11" s="19">
        <v>76</v>
      </c>
      <c r="F11" s="50">
        <f t="shared" si="0"/>
        <v>0.87958115183246077</v>
      </c>
      <c r="G11" s="50">
        <f t="shared" si="1"/>
        <v>0.39790575916230364</v>
      </c>
    </row>
    <row r="12" spans="1:7" x14ac:dyDescent="0.25">
      <c r="A12" s="20" t="s">
        <v>10</v>
      </c>
      <c r="B12" s="20" t="s">
        <v>11</v>
      </c>
      <c r="C12" s="20">
        <v>726</v>
      </c>
      <c r="D12" s="20">
        <v>619</v>
      </c>
      <c r="E12" s="20">
        <v>499</v>
      </c>
      <c r="F12" s="51">
        <f t="shared" si="0"/>
        <v>0.85261707988980717</v>
      </c>
      <c r="G12" s="51">
        <f t="shared" si="1"/>
        <v>0.68732782369146006</v>
      </c>
    </row>
    <row r="13" spans="1:7" x14ac:dyDescent="0.25">
      <c r="A13" s="19" t="s">
        <v>14</v>
      </c>
      <c r="B13" s="19" t="s">
        <v>15</v>
      </c>
      <c r="C13" s="19">
        <v>531</v>
      </c>
      <c r="D13" s="19">
        <v>446</v>
      </c>
      <c r="E13" s="19">
        <v>316</v>
      </c>
      <c r="F13" s="50">
        <f t="shared" si="0"/>
        <v>0.839924670433145</v>
      </c>
      <c r="G13" s="50">
        <f t="shared" si="1"/>
        <v>0.59510357815442561</v>
      </c>
    </row>
    <row r="14" spans="1:7" x14ac:dyDescent="0.25">
      <c r="A14" s="20" t="s">
        <v>26</v>
      </c>
      <c r="B14" s="20" t="s">
        <v>27</v>
      </c>
      <c r="C14" s="20">
        <v>353</v>
      </c>
      <c r="D14" s="20">
        <v>295</v>
      </c>
      <c r="E14" s="20">
        <v>165</v>
      </c>
      <c r="F14" s="51">
        <f t="shared" si="0"/>
        <v>0.8356940509915014</v>
      </c>
      <c r="G14" s="51">
        <f t="shared" si="1"/>
        <v>0.46742209631728043</v>
      </c>
    </row>
    <row r="15" spans="1:7" x14ac:dyDescent="0.25">
      <c r="A15" s="19" t="s">
        <v>22</v>
      </c>
      <c r="B15" s="19" t="s">
        <v>23</v>
      </c>
      <c r="C15" s="19">
        <v>341</v>
      </c>
      <c r="D15" s="19">
        <v>280</v>
      </c>
      <c r="E15" s="19">
        <v>177</v>
      </c>
      <c r="F15" s="50">
        <f t="shared" si="0"/>
        <v>0.82111436950146632</v>
      </c>
      <c r="G15" s="50">
        <f t="shared" si="1"/>
        <v>0.51906158357771259</v>
      </c>
    </row>
    <row r="16" spans="1:7" x14ac:dyDescent="0.25">
      <c r="A16" s="20" t="s">
        <v>36</v>
      </c>
      <c r="B16" s="20" t="s">
        <v>37</v>
      </c>
      <c r="C16" s="20">
        <v>269</v>
      </c>
      <c r="D16" s="20">
        <v>220</v>
      </c>
      <c r="E16" s="20">
        <v>126</v>
      </c>
      <c r="F16" s="51">
        <f t="shared" si="0"/>
        <v>0.81784386617100369</v>
      </c>
      <c r="G16" s="51">
        <f t="shared" si="1"/>
        <v>0.46840148698884759</v>
      </c>
    </row>
    <row r="17" spans="1:7" x14ac:dyDescent="0.25">
      <c r="A17" s="19" t="s">
        <v>20</v>
      </c>
      <c r="B17" s="19" t="s">
        <v>21</v>
      </c>
      <c r="C17" s="19">
        <v>211</v>
      </c>
      <c r="D17" s="19">
        <v>172</v>
      </c>
      <c r="E17" s="19">
        <v>79</v>
      </c>
      <c r="F17" s="50">
        <f t="shared" si="0"/>
        <v>0.81516587677725116</v>
      </c>
      <c r="G17" s="50">
        <f t="shared" si="1"/>
        <v>0.37440758293838861</v>
      </c>
    </row>
    <row r="18" spans="1:7" x14ac:dyDescent="0.25">
      <c r="A18" s="20" t="s">
        <v>46</v>
      </c>
      <c r="B18" s="20" t="s">
        <v>47</v>
      </c>
      <c r="C18" s="20">
        <v>124</v>
      </c>
      <c r="D18" s="20">
        <v>101</v>
      </c>
      <c r="E18" s="20">
        <v>48</v>
      </c>
      <c r="F18" s="51">
        <f t="shared" si="0"/>
        <v>0.81451612903225812</v>
      </c>
      <c r="G18" s="51">
        <f t="shared" si="1"/>
        <v>0.38709677419354838</v>
      </c>
    </row>
    <row r="19" spans="1:7" x14ac:dyDescent="0.25">
      <c r="A19" s="19" t="s">
        <v>38</v>
      </c>
      <c r="B19" s="19" t="s">
        <v>39</v>
      </c>
      <c r="C19" s="19">
        <v>254</v>
      </c>
      <c r="D19" s="19">
        <v>204</v>
      </c>
      <c r="E19" s="19">
        <v>55</v>
      </c>
      <c r="F19" s="50">
        <f t="shared" si="0"/>
        <v>0.80314960629921262</v>
      </c>
      <c r="G19" s="50">
        <f t="shared" si="1"/>
        <v>0.21653543307086615</v>
      </c>
    </row>
    <row r="20" spans="1:7" x14ac:dyDescent="0.25">
      <c r="A20" s="20" t="s">
        <v>32</v>
      </c>
      <c r="B20" s="20" t="s">
        <v>33</v>
      </c>
      <c r="C20" s="20">
        <v>346</v>
      </c>
      <c r="D20" s="20">
        <v>276</v>
      </c>
      <c r="E20" s="20">
        <v>142</v>
      </c>
      <c r="F20" s="51">
        <f t="shared" si="0"/>
        <v>0.79768786127167635</v>
      </c>
      <c r="G20" s="51">
        <f t="shared" si="1"/>
        <v>0.41040462427745666</v>
      </c>
    </row>
    <row r="21" spans="1:7" x14ac:dyDescent="0.25">
      <c r="A21" s="19" t="s">
        <v>6</v>
      </c>
      <c r="B21" s="19" t="s">
        <v>7</v>
      </c>
      <c r="C21" s="19">
        <v>4216</v>
      </c>
      <c r="D21" s="19">
        <v>3347</v>
      </c>
      <c r="E21" s="19">
        <v>2958</v>
      </c>
      <c r="F21" s="50">
        <f t="shared" si="0"/>
        <v>0.79388045540796959</v>
      </c>
      <c r="G21" s="50">
        <f t="shared" si="1"/>
        <v>0.70161290322580649</v>
      </c>
    </row>
    <row r="22" spans="1:7" x14ac:dyDescent="0.25">
      <c r="A22" s="20" t="s">
        <v>34</v>
      </c>
      <c r="B22" s="20" t="s">
        <v>35</v>
      </c>
      <c r="C22" s="20">
        <v>257</v>
      </c>
      <c r="D22" s="20">
        <v>204</v>
      </c>
      <c r="E22" s="20">
        <v>121</v>
      </c>
      <c r="F22" s="51">
        <f t="shared" si="0"/>
        <v>0.79377431906614782</v>
      </c>
      <c r="G22" s="51">
        <f t="shared" si="1"/>
        <v>0.47081712062256809</v>
      </c>
    </row>
    <row r="23" spans="1:7" x14ac:dyDescent="0.25">
      <c r="A23" s="19" t="s">
        <v>42</v>
      </c>
      <c r="B23" s="19" t="s">
        <v>43</v>
      </c>
      <c r="C23" s="19">
        <v>276</v>
      </c>
      <c r="D23" s="19">
        <v>217</v>
      </c>
      <c r="E23" s="19">
        <v>159</v>
      </c>
      <c r="F23" s="50">
        <f t="shared" si="0"/>
        <v>0.78623188405797106</v>
      </c>
      <c r="G23" s="50">
        <f t="shared" si="1"/>
        <v>0.57608695652173914</v>
      </c>
    </row>
    <row r="24" spans="1:7" x14ac:dyDescent="0.25">
      <c r="A24" s="20" t="s">
        <v>12</v>
      </c>
      <c r="B24" s="20" t="s">
        <v>13</v>
      </c>
      <c r="C24" s="20">
        <v>698</v>
      </c>
      <c r="D24" s="20">
        <v>546</v>
      </c>
      <c r="E24" s="20">
        <v>315</v>
      </c>
      <c r="F24" s="51">
        <f t="shared" si="0"/>
        <v>0.7822349570200573</v>
      </c>
      <c r="G24" s="51">
        <f t="shared" si="1"/>
        <v>0.45128939828080228</v>
      </c>
    </row>
    <row r="25" spans="1:7" x14ac:dyDescent="0.25">
      <c r="A25" s="19" t="s">
        <v>30</v>
      </c>
      <c r="B25" s="19" t="s">
        <v>31</v>
      </c>
      <c r="C25" s="19">
        <v>101</v>
      </c>
      <c r="D25" s="19">
        <v>78</v>
      </c>
      <c r="E25" s="19">
        <v>87</v>
      </c>
      <c r="F25" s="50">
        <f t="shared" si="0"/>
        <v>0.7722772277227723</v>
      </c>
      <c r="G25" s="50">
        <f t="shared" si="1"/>
        <v>0.86138613861386137</v>
      </c>
    </row>
    <row r="26" spans="1:7" x14ac:dyDescent="0.25">
      <c r="A26" s="20" t="s">
        <v>24</v>
      </c>
      <c r="B26" s="20" t="s">
        <v>25</v>
      </c>
      <c r="C26" s="20">
        <v>349</v>
      </c>
      <c r="D26" s="20">
        <v>268</v>
      </c>
      <c r="E26" s="20">
        <v>176</v>
      </c>
      <c r="F26" s="51">
        <f t="shared" si="0"/>
        <v>0.76790830945558741</v>
      </c>
      <c r="G26" s="51">
        <f t="shared" si="1"/>
        <v>0.50429799426934097</v>
      </c>
    </row>
    <row r="27" spans="1:7" x14ac:dyDescent="0.25">
      <c r="A27" s="19" t="s">
        <v>18</v>
      </c>
      <c r="B27" s="19" t="s">
        <v>19</v>
      </c>
      <c r="C27" s="19">
        <v>427</v>
      </c>
      <c r="D27" s="19">
        <v>310</v>
      </c>
      <c r="E27" s="19">
        <v>207</v>
      </c>
      <c r="F27" s="50">
        <f t="shared" si="0"/>
        <v>0.72599531615925061</v>
      </c>
      <c r="G27" s="50">
        <f t="shared" si="1"/>
        <v>0.48477751756440279</v>
      </c>
    </row>
    <row r="28" spans="1:7" x14ac:dyDescent="0.25">
      <c r="A28" s="20" t="s">
        <v>44</v>
      </c>
      <c r="B28" s="20" t="s">
        <v>45</v>
      </c>
      <c r="C28" s="20">
        <v>195</v>
      </c>
      <c r="D28" s="20">
        <v>135</v>
      </c>
      <c r="E28" s="20">
        <v>73</v>
      </c>
      <c r="F28" s="51">
        <f t="shared" si="0"/>
        <v>0.69230769230769229</v>
      </c>
      <c r="G28" s="51">
        <f t="shared" si="1"/>
        <v>0.37435897435897436</v>
      </c>
    </row>
    <row r="29" spans="1:7" x14ac:dyDescent="0.25">
      <c r="A29" s="19" t="s">
        <v>8</v>
      </c>
      <c r="B29" s="19" t="s">
        <v>9</v>
      </c>
      <c r="C29" s="19">
        <v>905</v>
      </c>
      <c r="D29" s="19">
        <v>620</v>
      </c>
      <c r="E29" s="19">
        <v>411</v>
      </c>
      <c r="F29" s="50">
        <f t="shared" si="0"/>
        <v>0.68508287292817682</v>
      </c>
      <c r="G29" s="50">
        <f t="shared" si="1"/>
        <v>0.45414364640883975</v>
      </c>
    </row>
    <row r="30" spans="1:7" x14ac:dyDescent="0.25">
      <c r="A30" s="20" t="s">
        <v>16</v>
      </c>
      <c r="B30" s="20" t="s">
        <v>17</v>
      </c>
      <c r="C30" s="20">
        <v>431</v>
      </c>
      <c r="D30" s="20">
        <v>290</v>
      </c>
      <c r="E30" s="20">
        <v>166</v>
      </c>
      <c r="F30" s="51">
        <f t="shared" si="0"/>
        <v>0.6728538283062645</v>
      </c>
      <c r="G30" s="51">
        <f t="shared" si="1"/>
        <v>0.38515081206496521</v>
      </c>
    </row>
    <row r="31" spans="1:7" x14ac:dyDescent="0.25">
      <c r="A31" s="19" t="s">
        <v>62</v>
      </c>
      <c r="B31" s="19" t="s">
        <v>63</v>
      </c>
      <c r="C31" s="19">
        <v>99</v>
      </c>
      <c r="D31" s="19">
        <v>64</v>
      </c>
      <c r="E31" s="19">
        <v>26</v>
      </c>
      <c r="F31" s="50">
        <f t="shared" si="0"/>
        <v>0.64646464646464652</v>
      </c>
      <c r="G31" s="50">
        <f t="shared" si="1"/>
        <v>0.26262626262626265</v>
      </c>
    </row>
    <row r="32" spans="1:7" x14ac:dyDescent="0.25">
      <c r="A32" s="20" t="s">
        <v>52</v>
      </c>
      <c r="B32" s="20" t="s">
        <v>53</v>
      </c>
      <c r="C32" s="20">
        <v>0</v>
      </c>
      <c r="D32" s="20">
        <v>0</v>
      </c>
      <c r="E32" s="20">
        <v>0</v>
      </c>
      <c r="F32" s="51">
        <v>0</v>
      </c>
      <c r="G32" s="51">
        <v>0</v>
      </c>
    </row>
    <row r="33" spans="1:7" x14ac:dyDescent="0.25">
      <c r="A33" s="19" t="s">
        <v>52</v>
      </c>
      <c r="B33" s="19" t="s">
        <v>58</v>
      </c>
      <c r="C33" s="19">
        <v>0</v>
      </c>
      <c r="D33" s="19">
        <v>0</v>
      </c>
      <c r="E33" s="19">
        <v>0</v>
      </c>
      <c r="F33" s="50">
        <v>0</v>
      </c>
      <c r="G33" s="50">
        <v>0</v>
      </c>
    </row>
    <row r="34" spans="1:7" x14ac:dyDescent="0.25">
      <c r="A34" s="20" t="s">
        <v>52</v>
      </c>
      <c r="B34" s="20" t="s">
        <v>59</v>
      </c>
      <c r="C34" s="20">
        <v>0</v>
      </c>
      <c r="D34" s="20">
        <v>0</v>
      </c>
      <c r="E34" s="20">
        <v>0</v>
      </c>
      <c r="F34" s="51">
        <v>0</v>
      </c>
      <c r="G34" s="51">
        <v>0</v>
      </c>
    </row>
    <row r="35" spans="1:7" x14ac:dyDescent="0.25">
      <c r="A35" s="19" t="s">
        <v>52</v>
      </c>
      <c r="B35" s="19" t="s">
        <v>64</v>
      </c>
      <c r="C35" s="19">
        <v>0</v>
      </c>
      <c r="D35" s="19">
        <v>0</v>
      </c>
      <c r="E35" s="19">
        <v>0</v>
      </c>
      <c r="F35" s="50">
        <v>0</v>
      </c>
      <c r="G35" s="50">
        <v>0</v>
      </c>
    </row>
    <row r="36" spans="1:7" x14ac:dyDescent="0.25">
      <c r="A36" s="20" t="s">
        <v>52</v>
      </c>
      <c r="B36" s="20" t="s">
        <v>69</v>
      </c>
      <c r="C36" s="20">
        <v>0</v>
      </c>
      <c r="D36" s="20">
        <v>0</v>
      </c>
      <c r="E36" s="20">
        <v>0</v>
      </c>
      <c r="F36" s="51">
        <v>0</v>
      </c>
      <c r="G36" s="51">
        <v>0</v>
      </c>
    </row>
    <row r="37" spans="1:7" x14ac:dyDescent="0.25">
      <c r="A37" s="19" t="s">
        <v>52</v>
      </c>
      <c r="B37" s="19" t="s">
        <v>70</v>
      </c>
      <c r="C37" s="19">
        <v>0</v>
      </c>
      <c r="D37" s="19">
        <v>0</v>
      </c>
      <c r="E37" s="19">
        <v>0</v>
      </c>
      <c r="F37" s="50">
        <v>0</v>
      </c>
      <c r="G37" s="50">
        <v>0</v>
      </c>
    </row>
    <row r="38" spans="1:7" x14ac:dyDescent="0.25">
      <c r="A38" s="20" t="s">
        <v>52</v>
      </c>
      <c r="B38" s="20" t="s">
        <v>71</v>
      </c>
      <c r="C38" s="20">
        <v>0</v>
      </c>
      <c r="D38" s="20">
        <v>0</v>
      </c>
      <c r="E38" s="20">
        <v>0</v>
      </c>
      <c r="F38" s="51">
        <v>0</v>
      </c>
      <c r="G38" s="51">
        <v>0</v>
      </c>
    </row>
    <row r="39" spans="1:7" x14ac:dyDescent="0.25">
      <c r="A39" s="19" t="s">
        <v>52</v>
      </c>
      <c r="B39" s="19" t="s">
        <v>72</v>
      </c>
      <c r="C39" s="19">
        <v>0</v>
      </c>
      <c r="D39" s="19">
        <v>0</v>
      </c>
      <c r="E39" s="19">
        <v>0</v>
      </c>
      <c r="F39" s="50">
        <v>0</v>
      </c>
      <c r="G39" s="50">
        <v>0</v>
      </c>
    </row>
    <row r="40" spans="1:7" x14ac:dyDescent="0.25">
      <c r="A40" s="20" t="s">
        <v>52</v>
      </c>
      <c r="B40" s="20" t="s">
        <v>73</v>
      </c>
      <c r="C40" s="20">
        <v>0</v>
      </c>
      <c r="D40" s="20">
        <v>0</v>
      </c>
      <c r="E40" s="20">
        <v>0</v>
      </c>
      <c r="F40" s="51">
        <v>0</v>
      </c>
      <c r="G40" s="51">
        <v>0</v>
      </c>
    </row>
    <row r="41" spans="1:7" ht="15.75" x14ac:dyDescent="0.25">
      <c r="A41" s="22"/>
      <c r="B41" s="22" t="s">
        <v>74</v>
      </c>
      <c r="C41" s="22">
        <f>SUM(C3:C40)</f>
        <v>13169</v>
      </c>
      <c r="D41" s="22">
        <f>SUM(D3:D40)</f>
        <v>10563</v>
      </c>
      <c r="E41" s="22">
        <f>SUM(E3:E40)</f>
        <v>7416</v>
      </c>
      <c r="F41" s="26">
        <f>D41/C41</f>
        <v>0.80211101830055431</v>
      </c>
      <c r="G41" s="26">
        <f>E41/C41</f>
        <v>0.56314070924140025</v>
      </c>
    </row>
  </sheetData>
  <conditionalFormatting sqref="F3:F40">
    <cfRule type="cellIs" dxfId="1" priority="2" operator="lessThan">
      <formula>$F$41</formula>
    </cfRule>
  </conditionalFormatting>
  <conditionalFormatting sqref="G3:G40">
    <cfRule type="cellIs" dxfId="0" priority="1" operator="lessThan">
      <formula>$G$41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FE6D808C3BC543988A51C16912FDA8" ma:contentTypeVersion="11" ma:contentTypeDescription="Create a new document." ma:contentTypeScope="" ma:versionID="b68329ba3f521355a9270bf3316dbb1e">
  <xsd:schema xmlns:xsd="http://www.w3.org/2001/XMLSchema" xmlns:xs="http://www.w3.org/2001/XMLSchema" xmlns:p="http://schemas.microsoft.com/office/2006/metadata/properties" xmlns:ns3="9bff9878-30ba-44e6-9df9-6743a974e0c6" targetNamespace="http://schemas.microsoft.com/office/2006/metadata/properties" ma:root="true" ma:fieldsID="2dbad1da7cad22c12c651b8953f8a047" ns3:_="">
    <xsd:import namespace="9bff9878-30ba-44e6-9df9-6743a974e0c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f9878-30ba-44e6-9df9-6743a974e0c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ff9878-30ba-44e6-9df9-6743a974e0c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CBC781-9957-43D6-A6DA-97B02DD50A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ff9878-30ba-44e6-9df9-6743a974e0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11572F-26CF-40D7-A2AC-350212F72E79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9bff9878-30ba-44e6-9df9-6743a974e0c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832E8A4-0D5B-42BE-B2C1-6EC357CA3EC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613a8d7-43b4-4ba1-9760-042b9277fb9c}" enabled="0" method="" siteId="{0613a8d7-43b4-4ba1-9760-042b9277fb9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Clients PI</vt:lpstr>
      <vt:lpstr>CA PI</vt:lpstr>
      <vt:lpstr>TDA PI</vt:lpstr>
      <vt:lpstr>SA PI </vt:lpstr>
      <vt:lpstr>Mortgage Loans</vt:lpstr>
      <vt:lpstr>Consumer Loans</vt:lpstr>
      <vt:lpstr>CC</vt:lpstr>
      <vt:lpstr>OVD</vt:lpstr>
      <vt:lpstr>Digital Penetration PI</vt:lpstr>
      <vt:lpstr>Clients BI</vt:lpstr>
      <vt:lpstr>CA Business</vt:lpstr>
      <vt:lpstr>TDA Business</vt:lpstr>
      <vt:lpstr>Short Term per Business</vt:lpstr>
      <vt:lpstr>Long Term business</vt:lpstr>
      <vt:lpstr>CC Business</vt:lpstr>
      <vt:lpstr>OVD Business</vt:lpstr>
      <vt:lpstr>POS Business</vt:lpstr>
      <vt:lpstr>Digital Penetration Business</vt:lpstr>
    </vt:vector>
  </TitlesOfParts>
  <Company>NLB Banka sh.a. Prishtine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Dedaj Bardh (NLB Banka sh.a. Prishtine)</dc:creator>
  <cp:lastModifiedBy>Drancolli Orik (NLB Banka sh.a. Prishtine)</cp:lastModifiedBy>
  <dcterms:created xsi:type="dcterms:W3CDTF">2026-02-26T09:22:46Z</dcterms:created>
  <dcterms:modified xsi:type="dcterms:W3CDTF">2026-03-26T15:43:59Z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0x010100DDFE6D808C3BC543988A51C16912FDA8</vt:lpwstr>
  </property>
</Properties>
</file>