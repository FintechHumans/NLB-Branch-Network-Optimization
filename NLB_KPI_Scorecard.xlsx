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_Master_Data" sheetId="1" state="visible" r:id="rId1"/>
    <sheet xmlns:r="http://schemas.openxmlformats.org/officeDocument/2006/relationships" name="KPI_Calculations" sheetId="2" state="visible" r:id="rId2"/>
    <sheet xmlns:r="http://schemas.openxmlformats.org/officeDocument/2006/relationships" name="Scorecard_Dashboard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1F4E79"/>
      <sz val="10"/>
    </font>
    <font>
      <name val="Arial"/>
      <i val="1"/>
      <color rgb="00666666"/>
      <sz val="9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6600"/>
      </patternFill>
    </fill>
    <fill>
      <patternFill patternType="solid">
        <fgColor rgb="005B9BD5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A6A6A6"/>
      </patternFill>
    </fill>
    <fill>
      <patternFill patternType="solid">
        <fgColor rgb="00B4C7E7"/>
      </patternFill>
    </fill>
    <fill>
      <patternFill patternType="solid">
        <fgColor rgb="0000B050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double">
        <color rgb="001F4E79"/>
      </top>
      <bottom style="double">
        <color rgb="001F4E7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6" fillId="0" borderId="0" pivotButton="0" quotePrefix="0" xfId="0"/>
    <xf numFmtId="3" fontId="8" fillId="0" borderId="2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W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Branch Code</t>
        </is>
      </c>
      <c r="B1" s="1" t="inlineStr">
        <is>
          <t>City</t>
        </is>
      </c>
      <c r="C1" s="1" t="inlineStr">
        <is>
          <t>Population</t>
        </is>
      </c>
      <c r="D1" s="1" t="inlineStr">
        <is>
          <t>Pop &gt;15</t>
        </is>
      </c>
      <c r="E1" s="1" t="inlineStr">
        <is>
          <t>Businesses</t>
        </is>
      </c>
      <c r="F1" s="1" t="inlineStr">
        <is>
          <t>PI Clients 2026</t>
        </is>
      </c>
      <c r="G1" s="1" t="inlineStr">
        <is>
          <t>PI Clients 2025</t>
        </is>
      </c>
      <c r="H1" s="1" t="inlineStr">
        <is>
          <t>Business Clients 2026</t>
        </is>
      </c>
      <c r="I1" s="1" t="inlineStr">
        <is>
          <t>Biz Clients 2025 (approx)</t>
        </is>
      </c>
      <c r="J1" s="1" t="inlineStr">
        <is>
          <t>Mortgages</t>
        </is>
      </c>
      <c r="K1" s="1" t="inlineStr">
        <is>
          <t>Consumer Loans</t>
        </is>
      </c>
      <c r="L1" s="1" t="inlineStr">
        <is>
          <t>Credit Cards</t>
        </is>
      </c>
      <c r="M1" s="1" t="inlineStr">
        <is>
          <t>Overdrafts</t>
        </is>
      </c>
      <c r="N1" s="1" t="inlineStr">
        <is>
          <t>Savings Accounts</t>
        </is>
      </c>
      <c r="O1" s="1" t="inlineStr">
        <is>
          <t>TDA</t>
        </is>
      </c>
      <c r="P1" s="1" t="inlineStr">
        <is>
          <t>Current Accounts</t>
        </is>
      </c>
      <c r="Q1" s="1" t="inlineStr">
        <is>
          <t>POS Terminals</t>
        </is>
      </c>
      <c r="R1" s="1" t="inlineStr">
        <is>
          <t>Biz ST Loans</t>
        </is>
      </c>
      <c r="S1" s="1" t="inlineStr">
        <is>
          <t>Biz LT Loans</t>
        </is>
      </c>
      <c r="T1" s="1" t="inlineStr">
        <is>
          <t>PI M-Banking</t>
        </is>
      </c>
      <c r="U1" s="1" t="inlineStr">
        <is>
          <t>PI E-Banking</t>
        </is>
      </c>
      <c r="V1" s="1" t="inlineStr">
        <is>
          <t>Biz CA</t>
        </is>
      </c>
      <c r="W1" s="1" t="inlineStr">
        <is>
          <t>Biz POS (from Sum)</t>
        </is>
      </c>
    </row>
    <row r="2">
      <c r="A2" s="2" t="inlineStr">
        <is>
          <t>0001</t>
        </is>
      </c>
      <c r="B2" s="3" t="inlineStr">
        <is>
          <t>PRISHTINE</t>
        </is>
      </c>
      <c r="C2" s="4" t="n">
        <v>227466</v>
      </c>
      <c r="D2" s="4" t="n">
        <v>177302</v>
      </c>
      <c r="E2" s="4" t="n">
        <v>21396</v>
      </c>
      <c r="F2" s="4" t="n">
        <v>47635</v>
      </c>
      <c r="G2" s="4" t="n">
        <v>4216</v>
      </c>
      <c r="H2" s="4" t="n">
        <v>45420</v>
      </c>
      <c r="I2" s="4" t="n">
        <v>4168</v>
      </c>
      <c r="J2" s="4" t="n">
        <v>3386</v>
      </c>
      <c r="K2" s="4" t="n">
        <v>7665</v>
      </c>
      <c r="L2" s="4" t="n">
        <v>312</v>
      </c>
      <c r="M2" s="4" t="n">
        <v>245</v>
      </c>
      <c r="N2" s="4" t="n">
        <v>5</v>
      </c>
      <c r="O2" s="4" t="n">
        <v>97</v>
      </c>
      <c r="P2" s="4" t="n">
        <v>5268</v>
      </c>
      <c r="Q2" s="4" t="n">
        <v>1705</v>
      </c>
      <c r="R2" s="4" t="n">
        <v>163</v>
      </c>
      <c r="S2" s="4" t="n">
        <v>832</v>
      </c>
      <c r="T2" s="4" t="n">
        <v>3347</v>
      </c>
      <c r="U2" s="4" t="n">
        <v>2958</v>
      </c>
      <c r="V2" s="4" t="n">
        <v>3910</v>
      </c>
      <c r="W2" s="4" t="n">
        <v>148</v>
      </c>
    </row>
    <row r="3">
      <c r="A3" s="5" t="inlineStr">
        <is>
          <t>1005</t>
        </is>
      </c>
      <c r="B3" s="6" t="inlineStr">
        <is>
          <t>PRIZREN</t>
        </is>
      </c>
      <c r="C3" s="7" t="n">
        <v>147246</v>
      </c>
      <c r="D3" s="7" t="n">
        <v>115421</v>
      </c>
      <c r="E3" s="7" t="n">
        <v>7119</v>
      </c>
      <c r="F3" s="7" t="n">
        <v>16152</v>
      </c>
      <c r="G3" s="7" t="n">
        <v>905</v>
      </c>
      <c r="H3" s="7" t="n">
        <v>15388</v>
      </c>
      <c r="I3" s="7" t="n">
        <v>945</v>
      </c>
      <c r="J3" s="7" t="n">
        <v>427</v>
      </c>
      <c r="K3" s="7" t="n">
        <v>1382</v>
      </c>
      <c r="L3" s="7" t="n">
        <v>58</v>
      </c>
      <c r="M3" s="7" t="n">
        <v>75</v>
      </c>
      <c r="N3" s="7" t="n">
        <v>0</v>
      </c>
      <c r="O3" s="7" t="n">
        <v>9</v>
      </c>
      <c r="P3" s="7" t="n">
        <v>1027</v>
      </c>
      <c r="Q3" s="7" t="n">
        <v>156</v>
      </c>
      <c r="R3" s="7" t="n">
        <v>43</v>
      </c>
      <c r="S3" s="7" t="n">
        <v>288</v>
      </c>
      <c r="T3" s="7" t="n">
        <v>620</v>
      </c>
      <c r="U3" s="7" t="n">
        <v>411</v>
      </c>
      <c r="V3" s="7" t="n">
        <v>929</v>
      </c>
      <c r="W3" s="7" t="n">
        <v>0</v>
      </c>
    </row>
    <row r="4">
      <c r="A4" s="2" t="inlineStr">
        <is>
          <t>1003</t>
        </is>
      </c>
      <c r="B4" s="3" t="inlineStr">
        <is>
          <t>FERIZAJ</t>
        </is>
      </c>
      <c r="C4" s="4" t="n">
        <v>109255</v>
      </c>
      <c r="D4" s="4" t="n">
        <v>84228</v>
      </c>
      <c r="E4" s="4" t="n">
        <v>6371</v>
      </c>
      <c r="F4" s="4" t="n">
        <v>13576</v>
      </c>
      <c r="G4" s="4" t="n">
        <v>726</v>
      </c>
      <c r="H4" s="4" t="n">
        <v>13031</v>
      </c>
      <c r="I4" s="4" t="n">
        <v>729</v>
      </c>
      <c r="J4" s="4" t="n">
        <v>538</v>
      </c>
      <c r="K4" s="4" t="n">
        <v>1578</v>
      </c>
      <c r="L4" s="4" t="n">
        <v>116</v>
      </c>
      <c r="M4" s="4" t="n">
        <v>99</v>
      </c>
      <c r="N4" s="4" t="n">
        <v>0</v>
      </c>
      <c r="O4" s="4" t="n">
        <v>2</v>
      </c>
      <c r="P4" s="4" t="n">
        <v>851</v>
      </c>
      <c r="Q4" s="4" t="n">
        <v>107</v>
      </c>
      <c r="R4" s="4" t="n">
        <v>28</v>
      </c>
      <c r="S4" s="4" t="n">
        <v>267</v>
      </c>
      <c r="T4" s="4" t="n">
        <v>619</v>
      </c>
      <c r="U4" s="4" t="n">
        <v>499</v>
      </c>
      <c r="V4" s="4" t="n">
        <v>693</v>
      </c>
      <c r="W4" s="4" t="n">
        <v>0</v>
      </c>
    </row>
    <row r="5">
      <c r="A5" s="5" t="inlineStr">
        <is>
          <t>1006</t>
        </is>
      </c>
      <c r="B5" s="6" t="inlineStr">
        <is>
          <t>PEJE</t>
        </is>
      </c>
      <c r="C5" s="7" t="n">
        <v>82745</v>
      </c>
      <c r="D5" s="7" t="n">
        <v>65980</v>
      </c>
      <c r="E5" s="7" t="n">
        <v>4172</v>
      </c>
      <c r="F5" s="7" t="n">
        <v>15027</v>
      </c>
      <c r="G5" s="7" t="n">
        <v>698</v>
      </c>
      <c r="H5" s="7" t="n">
        <v>14551</v>
      </c>
      <c r="I5" s="7" t="n">
        <v>701</v>
      </c>
      <c r="J5" s="7" t="n">
        <v>434</v>
      </c>
      <c r="K5" s="7" t="n">
        <v>1780</v>
      </c>
      <c r="L5" s="7" t="n">
        <v>87</v>
      </c>
      <c r="M5" s="7" t="n">
        <v>52</v>
      </c>
      <c r="N5" s="7" t="n">
        <v>0</v>
      </c>
      <c r="O5" s="7" t="n">
        <v>2</v>
      </c>
      <c r="P5" s="7" t="n">
        <v>849</v>
      </c>
      <c r="Q5" s="7" t="n">
        <v>421</v>
      </c>
      <c r="R5" s="7" t="n">
        <v>23</v>
      </c>
      <c r="S5" s="7" t="n">
        <v>191</v>
      </c>
      <c r="T5" s="7" t="n">
        <v>546</v>
      </c>
      <c r="U5" s="7" t="n">
        <v>315</v>
      </c>
      <c r="V5" s="7" t="n">
        <v>666</v>
      </c>
      <c r="W5" s="7" t="n">
        <v>0</v>
      </c>
    </row>
    <row r="6">
      <c r="A6" s="2" t="inlineStr">
        <is>
          <t>100104</t>
        </is>
      </c>
      <c r="B6" s="3" t="inlineStr">
        <is>
          <t>FUSHE KOSOVE</t>
        </is>
      </c>
      <c r="C6" s="4" t="n">
        <v>63949</v>
      </c>
      <c r="D6" s="4" t="n">
        <v>47439</v>
      </c>
      <c r="E6" s="4" t="n">
        <v>2711</v>
      </c>
      <c r="F6" s="4" t="n">
        <v>6301</v>
      </c>
      <c r="G6" s="4" t="n">
        <v>531</v>
      </c>
      <c r="H6" s="4" t="n">
        <v>6061</v>
      </c>
      <c r="I6" s="4" t="n">
        <v>461</v>
      </c>
      <c r="J6" s="4" t="n">
        <v>287</v>
      </c>
      <c r="K6" s="4" t="n">
        <v>914</v>
      </c>
      <c r="L6" s="4" t="n">
        <v>19</v>
      </c>
      <c r="M6" s="4" t="n">
        <v>24</v>
      </c>
      <c r="N6" s="4" t="n">
        <v>0</v>
      </c>
      <c r="O6" s="4" t="n">
        <v>2</v>
      </c>
      <c r="P6" s="4" t="n">
        <v>612</v>
      </c>
      <c r="Q6" s="4" t="n">
        <v>201</v>
      </c>
      <c r="R6" s="4" t="n">
        <v>11</v>
      </c>
      <c r="S6" s="4" t="n">
        <v>170</v>
      </c>
      <c r="T6" s="4" t="n">
        <v>446</v>
      </c>
      <c r="U6" s="4" t="n">
        <v>316</v>
      </c>
      <c r="V6" s="4" t="n">
        <v>485</v>
      </c>
      <c r="W6" s="4" t="n">
        <v>0</v>
      </c>
    </row>
    <row r="7">
      <c r="A7" s="5" t="inlineStr">
        <is>
          <t>1004</t>
        </is>
      </c>
      <c r="B7" s="6" t="inlineStr">
        <is>
          <t>GJAKOVE</t>
        </is>
      </c>
      <c r="C7" s="7" t="n">
        <v>78699</v>
      </c>
      <c r="D7" s="7" t="n">
        <v>62970</v>
      </c>
      <c r="E7" s="7" t="n">
        <v>4005</v>
      </c>
      <c r="F7" s="7" t="n">
        <v>8812</v>
      </c>
      <c r="G7" s="7" t="n">
        <v>431</v>
      </c>
      <c r="H7" s="7" t="n">
        <v>8802</v>
      </c>
      <c r="I7" s="7" t="n">
        <v>501</v>
      </c>
      <c r="J7" s="7" t="n">
        <v>447</v>
      </c>
      <c r="K7" s="7" t="n">
        <v>1229</v>
      </c>
      <c r="L7" s="7" t="n">
        <v>33</v>
      </c>
      <c r="M7" s="7" t="n">
        <v>20</v>
      </c>
      <c r="N7" s="7" t="n">
        <v>0</v>
      </c>
      <c r="O7" s="7" t="n">
        <v>6</v>
      </c>
      <c r="P7" s="7" t="n">
        <v>505</v>
      </c>
      <c r="Q7" s="7" t="n">
        <v>60</v>
      </c>
      <c r="R7" s="7" t="n">
        <v>9</v>
      </c>
      <c r="S7" s="7" t="n">
        <v>102</v>
      </c>
      <c r="T7" s="7" t="n">
        <v>290</v>
      </c>
      <c r="U7" s="7" t="n">
        <v>166</v>
      </c>
      <c r="V7" s="7" t="n">
        <v>548</v>
      </c>
      <c r="W7" s="7" t="n">
        <v>4</v>
      </c>
    </row>
    <row r="8">
      <c r="A8" s="2" t="inlineStr">
        <is>
          <t>1007</t>
        </is>
      </c>
      <c r="B8" s="3" t="inlineStr">
        <is>
          <t>MITROVICE</t>
        </is>
      </c>
      <c r="C8" s="4" t="n">
        <v>64742</v>
      </c>
      <c r="D8" s="4" t="n">
        <v>50171</v>
      </c>
      <c r="E8" s="4" t="n">
        <v>2529</v>
      </c>
      <c r="F8" s="4" t="n">
        <v>11901</v>
      </c>
      <c r="G8" s="4" t="n">
        <v>427</v>
      </c>
      <c r="H8" s="4" t="n">
        <v>11839</v>
      </c>
      <c r="I8" s="4" t="n">
        <v>400</v>
      </c>
      <c r="J8" s="4" t="n">
        <v>482</v>
      </c>
      <c r="K8" s="4" t="n">
        <v>1087</v>
      </c>
      <c r="L8" s="4" t="n">
        <v>49</v>
      </c>
      <c r="M8" s="4" t="n">
        <v>29</v>
      </c>
      <c r="N8" s="4" t="n">
        <v>0</v>
      </c>
      <c r="O8" s="4" t="n">
        <v>0</v>
      </c>
      <c r="P8" s="4" t="n">
        <v>486</v>
      </c>
      <c r="Q8" s="4" t="n">
        <v>107</v>
      </c>
      <c r="R8" s="4" t="n">
        <v>6</v>
      </c>
      <c r="S8" s="4" t="n">
        <v>115</v>
      </c>
      <c r="T8" s="4" t="n">
        <v>310</v>
      </c>
      <c r="U8" s="4" t="n">
        <v>207</v>
      </c>
      <c r="V8" s="4" t="n">
        <v>389</v>
      </c>
      <c r="W8" s="4" t="n">
        <v>0</v>
      </c>
    </row>
    <row r="9">
      <c r="A9" s="5" t="inlineStr">
        <is>
          <t>100702</t>
        </is>
      </c>
      <c r="B9" s="6" t="inlineStr">
        <is>
          <t>VUSHTRRI</t>
        </is>
      </c>
      <c r="C9" s="7" t="n">
        <v>61528</v>
      </c>
      <c r="D9" s="7" t="n">
        <v>47591</v>
      </c>
      <c r="E9" s="7" t="n">
        <v>1868</v>
      </c>
      <c r="F9" s="7" t="n">
        <v>6504</v>
      </c>
      <c r="G9" s="7" t="n">
        <v>211</v>
      </c>
      <c r="H9" s="7" t="n">
        <v>6269</v>
      </c>
      <c r="I9" s="7" t="n">
        <v>211</v>
      </c>
      <c r="J9" s="7" t="n">
        <v>180</v>
      </c>
      <c r="K9" s="7" t="n">
        <v>610</v>
      </c>
      <c r="L9" s="7" t="n">
        <v>42</v>
      </c>
      <c r="M9" s="7" t="n">
        <v>24</v>
      </c>
      <c r="N9" s="7" t="n">
        <v>0</v>
      </c>
      <c r="O9" s="7" t="n">
        <v>0</v>
      </c>
      <c r="P9" s="7" t="n">
        <v>238</v>
      </c>
      <c r="Q9" s="7" t="n">
        <v>69</v>
      </c>
      <c r="R9" s="7" t="n">
        <v>7</v>
      </c>
      <c r="S9" s="7" t="n">
        <v>84</v>
      </c>
      <c r="T9" s="7" t="n">
        <v>172</v>
      </c>
      <c r="U9" s="7" t="n">
        <v>79</v>
      </c>
      <c r="V9" s="7" t="n">
        <v>194</v>
      </c>
      <c r="W9" s="7" t="n">
        <v>0</v>
      </c>
    </row>
    <row r="10">
      <c r="A10" s="2" t="inlineStr">
        <is>
          <t>000103</t>
        </is>
      </c>
      <c r="B10" s="3" t="inlineStr">
        <is>
          <t>GLLOGOC</t>
        </is>
      </c>
      <c r="C10" s="4" t="n">
        <v>48079</v>
      </c>
      <c r="D10" s="4" t="n">
        <v>36276</v>
      </c>
      <c r="E10" s="4" t="n">
        <v>1566</v>
      </c>
      <c r="F10" s="4" t="n">
        <v>8808</v>
      </c>
      <c r="G10" s="4" t="n">
        <v>341</v>
      </c>
      <c r="H10" s="4" t="n">
        <v>8493</v>
      </c>
      <c r="I10" s="4" t="n">
        <v>352</v>
      </c>
      <c r="J10" s="4" t="n">
        <v>331</v>
      </c>
      <c r="K10" s="4" t="n">
        <v>1091</v>
      </c>
      <c r="L10" s="4" t="n">
        <v>58</v>
      </c>
      <c r="M10" s="4" t="n">
        <v>36</v>
      </c>
      <c r="N10" s="4" t="n">
        <v>0</v>
      </c>
      <c r="O10" s="4" t="n">
        <v>4</v>
      </c>
      <c r="P10" s="4" t="n">
        <v>363</v>
      </c>
      <c r="Q10" s="4" t="n">
        <v>78</v>
      </c>
      <c r="R10" s="4" t="n">
        <v>12</v>
      </c>
      <c r="S10" s="4" t="n">
        <v>129</v>
      </c>
      <c r="T10" s="4" t="n">
        <v>280</v>
      </c>
      <c r="U10" s="4" t="n">
        <v>177</v>
      </c>
      <c r="V10" s="4" t="n">
        <v>325</v>
      </c>
      <c r="W10" s="4" t="n">
        <v>0</v>
      </c>
    </row>
    <row r="11">
      <c r="A11" s="5" t="inlineStr">
        <is>
          <t>1009</t>
        </is>
      </c>
      <c r="B11" s="6" t="inlineStr">
        <is>
          <t>PODUJEVE</t>
        </is>
      </c>
      <c r="C11" s="7" t="n">
        <v>70975</v>
      </c>
      <c r="D11" s="7" t="n">
        <v>54812</v>
      </c>
      <c r="E11" s="7" t="n">
        <v>2381</v>
      </c>
      <c r="F11" s="7" t="n">
        <v>10670</v>
      </c>
      <c r="G11" s="7" t="n">
        <v>349</v>
      </c>
      <c r="H11" s="7" t="n">
        <v>10092</v>
      </c>
      <c r="I11" s="7" t="n">
        <v>347</v>
      </c>
      <c r="J11" s="7" t="n">
        <v>243</v>
      </c>
      <c r="K11" s="7" t="n">
        <v>768</v>
      </c>
      <c r="L11" s="7" t="n">
        <v>24</v>
      </c>
      <c r="M11" s="7" t="n">
        <v>30</v>
      </c>
      <c r="N11" s="7" t="n">
        <v>0</v>
      </c>
      <c r="O11" s="7" t="n">
        <v>1</v>
      </c>
      <c r="P11" s="7" t="n">
        <v>406</v>
      </c>
      <c r="Q11" s="7" t="n">
        <v>45</v>
      </c>
      <c r="R11" s="7" t="n">
        <v>16</v>
      </c>
      <c r="S11" s="7" t="n">
        <v>94</v>
      </c>
      <c r="T11" s="7" t="n">
        <v>268</v>
      </c>
      <c r="U11" s="7" t="n">
        <v>176</v>
      </c>
      <c r="V11" s="7" t="n">
        <v>321</v>
      </c>
      <c r="W11" s="7" t="n">
        <v>0</v>
      </c>
    </row>
    <row r="12">
      <c r="A12" s="2" t="inlineStr">
        <is>
          <t>100106</t>
        </is>
      </c>
      <c r="B12" s="3" t="inlineStr">
        <is>
          <t>LIPJAN</t>
        </is>
      </c>
      <c r="C12" s="4" t="n">
        <v>55044</v>
      </c>
      <c r="D12" s="4" t="n">
        <v>41804</v>
      </c>
      <c r="E12" s="4" t="n">
        <v>1874</v>
      </c>
      <c r="F12" s="4" t="n">
        <v>5950</v>
      </c>
      <c r="G12" s="4" t="n">
        <v>353</v>
      </c>
      <c r="H12" s="4" t="n">
        <v>5716</v>
      </c>
      <c r="I12" s="4" t="n">
        <v>357</v>
      </c>
      <c r="J12" s="4" t="n">
        <v>191</v>
      </c>
      <c r="K12" s="4" t="n">
        <v>701</v>
      </c>
      <c r="L12" s="4" t="n">
        <v>71</v>
      </c>
      <c r="M12" s="4" t="n">
        <v>44</v>
      </c>
      <c r="N12" s="4" t="n">
        <v>0</v>
      </c>
      <c r="O12" s="4" t="n">
        <v>1</v>
      </c>
      <c r="P12" s="4" t="n">
        <v>443</v>
      </c>
      <c r="Q12" s="4" t="n">
        <v>126</v>
      </c>
      <c r="R12" s="4" t="n">
        <v>16</v>
      </c>
      <c r="S12" s="4" t="n">
        <v>140</v>
      </c>
      <c r="T12" s="4" t="n">
        <v>295</v>
      </c>
      <c r="U12" s="4" t="n">
        <v>165</v>
      </c>
      <c r="V12" s="4" t="n">
        <v>335</v>
      </c>
      <c r="W12" s="4" t="n">
        <v>0</v>
      </c>
    </row>
    <row r="13">
      <c r="A13" s="5" t="inlineStr">
        <is>
          <t>1002</t>
        </is>
      </c>
      <c r="B13" s="6" t="inlineStr">
        <is>
          <t>GJILAN</t>
        </is>
      </c>
      <c r="C13" s="7" t="n">
        <v>82980</v>
      </c>
      <c r="D13" s="7" t="n">
        <v>66517</v>
      </c>
      <c r="E13" s="7" t="n">
        <v>4317</v>
      </c>
      <c r="F13" s="7" t="n">
        <v>11535</v>
      </c>
      <c r="G13" s="7" t="n">
        <v>459</v>
      </c>
      <c r="H13" s="7" t="n">
        <v>11191</v>
      </c>
      <c r="I13" s="7" t="n">
        <v>439</v>
      </c>
      <c r="J13" s="7" t="n">
        <v>670</v>
      </c>
      <c r="K13" s="7" t="n">
        <v>1439</v>
      </c>
      <c r="L13" s="7" t="n">
        <v>49</v>
      </c>
      <c r="M13" s="7" t="n">
        <v>36</v>
      </c>
      <c r="N13" s="7" t="n">
        <v>0</v>
      </c>
      <c r="O13" s="7" t="n">
        <v>5</v>
      </c>
      <c r="P13" s="7" t="n">
        <v>533</v>
      </c>
      <c r="Q13" s="7" t="n">
        <v>115</v>
      </c>
      <c r="R13" s="7" t="n">
        <v>9</v>
      </c>
      <c r="S13" s="7" t="n">
        <v>157</v>
      </c>
      <c r="T13" s="7" t="n">
        <v>410</v>
      </c>
      <c r="U13" s="7" t="n">
        <v>241</v>
      </c>
      <c r="V13" s="7" t="n">
        <v>413</v>
      </c>
      <c r="W13" s="7" t="n">
        <v>0</v>
      </c>
    </row>
    <row r="14">
      <c r="A14" s="2" t="inlineStr">
        <is>
          <t>100108</t>
        </is>
      </c>
      <c r="B14" s="3" t="inlineStr">
        <is>
          <t>GRACANICE</t>
        </is>
      </c>
      <c r="C14" s="4" t="n">
        <v>18486</v>
      </c>
      <c r="D14" s="4" t="n">
        <v>14806</v>
      </c>
      <c r="E14" s="4" t="n">
        <v>944</v>
      </c>
      <c r="F14" s="4" t="n">
        <v>3691</v>
      </c>
      <c r="G14" s="4" t="n">
        <v>101</v>
      </c>
      <c r="H14" s="4" t="n">
        <v>3610</v>
      </c>
      <c r="I14" s="4" t="n">
        <v>98</v>
      </c>
      <c r="J14" s="4" t="n">
        <v>15</v>
      </c>
      <c r="K14" s="4" t="n">
        <v>237</v>
      </c>
      <c r="L14" s="4" t="n">
        <v>2</v>
      </c>
      <c r="M14" s="4" t="n">
        <v>2</v>
      </c>
      <c r="N14" s="4" t="n">
        <v>0</v>
      </c>
      <c r="O14" s="4" t="n">
        <v>0</v>
      </c>
      <c r="P14" s="4" t="n">
        <v>106</v>
      </c>
      <c r="Q14" s="4" t="n">
        <v>6</v>
      </c>
      <c r="R14" s="4" t="n">
        <v>0</v>
      </c>
      <c r="S14" s="4" t="n">
        <v>14</v>
      </c>
      <c r="T14" s="4" t="n">
        <v>78</v>
      </c>
      <c r="U14" s="4" t="n">
        <v>87</v>
      </c>
      <c r="V14" s="4" t="n">
        <v>101</v>
      </c>
      <c r="W14" s="4" t="n">
        <v>0</v>
      </c>
    </row>
    <row r="15">
      <c r="A15" s="5" t="inlineStr">
        <is>
          <t>100502</t>
        </is>
      </c>
      <c r="B15" s="6" t="inlineStr">
        <is>
          <t>SUHAREKE</t>
        </is>
      </c>
      <c r="C15" s="7" t="n">
        <v>45749</v>
      </c>
      <c r="D15" s="7" t="n">
        <v>36111</v>
      </c>
      <c r="E15" s="7" t="n">
        <v>2085</v>
      </c>
      <c r="F15" s="7" t="n">
        <v>5922</v>
      </c>
      <c r="G15" s="7" t="n">
        <v>346</v>
      </c>
      <c r="H15" s="7" t="n">
        <v>5637</v>
      </c>
      <c r="I15" s="7" t="n">
        <v>333</v>
      </c>
      <c r="J15" s="7" t="n">
        <v>158</v>
      </c>
      <c r="K15" s="7" t="n">
        <v>613</v>
      </c>
      <c r="L15" s="7" t="n">
        <v>20</v>
      </c>
      <c r="M15" s="7" t="n">
        <v>17</v>
      </c>
      <c r="N15" s="7" t="n">
        <v>0</v>
      </c>
      <c r="O15" s="7" t="n">
        <v>1</v>
      </c>
      <c r="P15" s="7" t="n">
        <v>394</v>
      </c>
      <c r="Q15" s="7" t="n">
        <v>33</v>
      </c>
      <c r="R15" s="7" t="n">
        <v>0</v>
      </c>
      <c r="S15" s="7" t="n">
        <v>75</v>
      </c>
      <c r="T15" s="7" t="n">
        <v>276</v>
      </c>
      <c r="U15" s="7" t="n">
        <v>142</v>
      </c>
      <c r="V15" s="7" t="n">
        <v>321</v>
      </c>
      <c r="W15" s="7" t="n">
        <v>0</v>
      </c>
    </row>
    <row r="16">
      <c r="A16" s="2" t="inlineStr">
        <is>
          <t>100503</t>
        </is>
      </c>
      <c r="B16" s="3" t="inlineStr">
        <is>
          <t>MALISHEVE</t>
        </is>
      </c>
      <c r="C16" s="4" t="n">
        <v>43888</v>
      </c>
      <c r="D16" s="4" t="n">
        <v>32516</v>
      </c>
      <c r="E16" s="4" t="n">
        <v>1167</v>
      </c>
      <c r="F16" s="4" t="n">
        <v>4413</v>
      </c>
      <c r="G16" s="4" t="n">
        <v>257</v>
      </c>
      <c r="H16" s="4" t="n">
        <v>4147</v>
      </c>
      <c r="I16" s="4" t="n">
        <v>249</v>
      </c>
      <c r="J16" s="4" t="n">
        <v>148</v>
      </c>
      <c r="K16" s="4" t="n">
        <v>364</v>
      </c>
      <c r="L16" s="4" t="n">
        <v>18</v>
      </c>
      <c r="M16" s="4" t="n">
        <v>20</v>
      </c>
      <c r="N16" s="4" t="n">
        <v>0</v>
      </c>
      <c r="O16" s="4" t="n">
        <v>1</v>
      </c>
      <c r="P16" s="4" t="n">
        <v>281</v>
      </c>
      <c r="Q16" s="4" t="n">
        <v>56</v>
      </c>
      <c r="R16" s="4" t="n">
        <v>6</v>
      </c>
      <c r="S16" s="4" t="n">
        <v>78</v>
      </c>
      <c r="T16" s="4" t="n">
        <v>204</v>
      </c>
      <c r="U16" s="4" t="n">
        <v>121</v>
      </c>
      <c r="V16" s="4" t="n">
        <v>236</v>
      </c>
      <c r="W16" s="4" t="n">
        <v>0</v>
      </c>
    </row>
    <row r="17">
      <c r="A17" s="5" t="inlineStr">
        <is>
          <t>100603</t>
        </is>
      </c>
      <c r="B17" s="6" t="inlineStr">
        <is>
          <t>ISTOG</t>
        </is>
      </c>
      <c r="C17" s="7" t="n">
        <v>33008</v>
      </c>
      <c r="D17" s="7" t="n">
        <v>26385</v>
      </c>
      <c r="E17" s="7" t="n">
        <v>1213</v>
      </c>
      <c r="F17" s="7" t="n">
        <v>5105</v>
      </c>
      <c r="G17" s="7" t="n">
        <v>269</v>
      </c>
      <c r="H17" s="7" t="n">
        <v>4844</v>
      </c>
      <c r="I17" s="7" t="n">
        <v>259</v>
      </c>
      <c r="J17" s="7" t="n">
        <v>105</v>
      </c>
      <c r="K17" s="7" t="n">
        <v>594</v>
      </c>
      <c r="L17" s="7" t="n">
        <v>28</v>
      </c>
      <c r="M17" s="7" t="n">
        <v>17</v>
      </c>
      <c r="N17" s="7" t="n">
        <v>0</v>
      </c>
      <c r="O17" s="7" t="n">
        <v>6</v>
      </c>
      <c r="P17" s="7" t="n">
        <v>301</v>
      </c>
      <c r="Q17" s="7" t="n">
        <v>71</v>
      </c>
      <c r="R17" s="7" t="n">
        <v>11</v>
      </c>
      <c r="S17" s="7" t="n">
        <v>77</v>
      </c>
      <c r="T17" s="7" t="n">
        <v>220</v>
      </c>
      <c r="U17" s="7" t="n">
        <v>126</v>
      </c>
      <c r="V17" s="7" t="n">
        <v>252</v>
      </c>
      <c r="W17" s="7" t="n">
        <v>0</v>
      </c>
    </row>
    <row r="18">
      <c r="A18" s="2" t="inlineStr">
        <is>
          <t>100701</t>
        </is>
      </c>
      <c r="B18" s="3" t="inlineStr">
        <is>
          <t>SKENDERAJ</t>
        </is>
      </c>
      <c r="C18" s="4" t="n">
        <v>40664</v>
      </c>
      <c r="D18" s="4" t="n">
        <v>31671</v>
      </c>
      <c r="E18" s="4" t="n">
        <v>1087</v>
      </c>
      <c r="F18" s="4" t="n">
        <v>6091</v>
      </c>
      <c r="G18" s="4" t="n">
        <v>254</v>
      </c>
      <c r="H18" s="4" t="n">
        <v>5790</v>
      </c>
      <c r="I18" s="4" t="n">
        <v>249</v>
      </c>
      <c r="J18" s="4" t="n">
        <v>147</v>
      </c>
      <c r="K18" s="4" t="n">
        <v>625</v>
      </c>
      <c r="L18" s="4" t="n">
        <v>44</v>
      </c>
      <c r="M18" s="4" t="n">
        <v>36</v>
      </c>
      <c r="N18" s="4" t="n">
        <v>0</v>
      </c>
      <c r="O18" s="4" t="n">
        <v>0</v>
      </c>
      <c r="P18" s="4" t="n">
        <v>273</v>
      </c>
      <c r="Q18" s="4" t="n">
        <v>47</v>
      </c>
      <c r="R18" s="4" t="n">
        <v>6</v>
      </c>
      <c r="S18" s="4" t="n">
        <v>139</v>
      </c>
      <c r="T18" s="4" t="n">
        <v>204</v>
      </c>
      <c r="U18" s="4" t="n">
        <v>55</v>
      </c>
      <c r="V18" s="4" t="n">
        <v>239</v>
      </c>
      <c r="W18" s="4" t="n">
        <v>0</v>
      </c>
    </row>
    <row r="19">
      <c r="A19" s="5" t="inlineStr">
        <is>
          <t>100201</t>
        </is>
      </c>
      <c r="B19" s="6" t="inlineStr">
        <is>
          <t>VITI</t>
        </is>
      </c>
      <c r="C19" s="7" t="n">
        <v>35566</v>
      </c>
      <c r="D19" s="7" t="n">
        <v>27813</v>
      </c>
      <c r="E19" s="7" t="n">
        <v>1410</v>
      </c>
      <c r="F19" s="7" t="n">
        <v>5153</v>
      </c>
      <c r="G19" s="7" t="n">
        <v>238</v>
      </c>
      <c r="H19" s="7" t="n">
        <v>4960</v>
      </c>
      <c r="I19" s="7" t="n">
        <v>239</v>
      </c>
      <c r="J19" s="7" t="n">
        <v>160</v>
      </c>
      <c r="K19" s="7" t="n">
        <v>403</v>
      </c>
      <c r="L19" s="7" t="n">
        <v>47</v>
      </c>
      <c r="M19" s="7" t="n">
        <v>33</v>
      </c>
      <c r="N19" s="7" t="n">
        <v>0</v>
      </c>
      <c r="O19" s="7" t="n">
        <v>4</v>
      </c>
      <c r="P19" s="7" t="n">
        <v>290</v>
      </c>
      <c r="Q19" s="7" t="n">
        <v>50</v>
      </c>
      <c r="R19" s="7" t="n">
        <v>10</v>
      </c>
      <c r="S19" s="7" t="n">
        <v>83</v>
      </c>
      <c r="T19" s="7" t="n">
        <v>212</v>
      </c>
      <c r="U19" s="7" t="n">
        <v>113</v>
      </c>
      <c r="V19" s="7" t="n">
        <v>228</v>
      </c>
      <c r="W19" s="7" t="n">
        <v>0</v>
      </c>
    </row>
    <row r="20">
      <c r="A20" s="2" t="inlineStr">
        <is>
          <t>100602</t>
        </is>
      </c>
      <c r="B20" s="3" t="inlineStr">
        <is>
          <t>KLINE</t>
        </is>
      </c>
      <c r="C20" s="4" t="n">
        <v>30503</v>
      </c>
      <c r="D20" s="4" t="n">
        <v>23708</v>
      </c>
      <c r="E20" s="4" t="n">
        <v>1048</v>
      </c>
      <c r="F20" s="4" t="n">
        <v>4322</v>
      </c>
      <c r="G20" s="4" t="n">
        <v>276</v>
      </c>
      <c r="H20" s="4" t="n">
        <v>4235</v>
      </c>
      <c r="I20" s="4" t="n">
        <v>276</v>
      </c>
      <c r="J20" s="4" t="n">
        <v>139</v>
      </c>
      <c r="K20" s="4" t="n">
        <v>384</v>
      </c>
      <c r="L20" s="4" t="n">
        <v>25</v>
      </c>
      <c r="M20" s="4" t="n">
        <v>18</v>
      </c>
      <c r="N20" s="4" t="n">
        <v>0</v>
      </c>
      <c r="O20" s="4" t="n">
        <v>1</v>
      </c>
      <c r="P20" s="4" t="n">
        <v>351</v>
      </c>
      <c r="Q20" s="4" t="n">
        <v>62</v>
      </c>
      <c r="R20" s="4" t="n">
        <v>6</v>
      </c>
      <c r="S20" s="4" t="n">
        <v>90</v>
      </c>
      <c r="T20" s="4" t="n">
        <v>217</v>
      </c>
      <c r="U20" s="4" t="n">
        <v>159</v>
      </c>
      <c r="V20" s="4" t="n">
        <v>259</v>
      </c>
      <c r="W20" s="4" t="n">
        <v>0</v>
      </c>
    </row>
    <row r="21">
      <c r="A21" s="5" t="inlineStr">
        <is>
          <t>100501</t>
        </is>
      </c>
      <c r="B21" s="6" t="inlineStr">
        <is>
          <t>RAHOVEC</t>
        </is>
      </c>
      <c r="C21" s="7" t="n">
        <v>41799</v>
      </c>
      <c r="D21" s="7" t="n">
        <v>32724</v>
      </c>
      <c r="E21" s="7" t="n">
        <v>1659</v>
      </c>
      <c r="F21" s="7" t="n">
        <v>5514</v>
      </c>
      <c r="G21" s="7" t="n">
        <v>195</v>
      </c>
      <c r="H21" s="7" t="n">
        <v>5358</v>
      </c>
      <c r="I21" s="7" t="n">
        <v>196</v>
      </c>
      <c r="J21" s="7" t="n">
        <v>154</v>
      </c>
      <c r="K21" s="7" t="n">
        <v>549</v>
      </c>
      <c r="L21" s="7" t="n">
        <v>36</v>
      </c>
      <c r="M21" s="7" t="n">
        <v>20</v>
      </c>
      <c r="N21" s="7" t="n">
        <v>0</v>
      </c>
      <c r="O21" s="7" t="n">
        <v>1</v>
      </c>
      <c r="P21" s="7" t="n">
        <v>225</v>
      </c>
      <c r="Q21" s="7" t="n">
        <v>43</v>
      </c>
      <c r="R21" s="7" t="n">
        <v>7</v>
      </c>
      <c r="S21" s="7" t="n">
        <v>70</v>
      </c>
      <c r="T21" s="7" t="n">
        <v>135</v>
      </c>
      <c r="U21" s="7" t="n">
        <v>73</v>
      </c>
      <c r="V21" s="7" t="n">
        <v>219</v>
      </c>
      <c r="W21" s="7" t="n">
        <v>5</v>
      </c>
    </row>
    <row r="22">
      <c r="A22" s="2" t="inlineStr">
        <is>
          <t>100105</t>
        </is>
      </c>
      <c r="B22" s="3" t="inlineStr">
        <is>
          <t>OBILIQ</t>
        </is>
      </c>
      <c r="C22" s="4" t="n">
        <v>22815</v>
      </c>
      <c r="D22" s="4" t="n">
        <v>17367</v>
      </c>
      <c r="E22" s="4" t="n">
        <v>683</v>
      </c>
      <c r="F22" s="4" t="n">
        <v>4126</v>
      </c>
      <c r="G22" s="4" t="n">
        <v>124</v>
      </c>
      <c r="H22" s="4" t="n">
        <v>3945</v>
      </c>
      <c r="I22" s="4" t="n">
        <v>123</v>
      </c>
      <c r="J22" s="4" t="n">
        <v>94</v>
      </c>
      <c r="K22" s="4" t="n">
        <v>532</v>
      </c>
      <c r="L22" s="4" t="n">
        <v>6</v>
      </c>
      <c r="M22" s="4" t="n">
        <v>5</v>
      </c>
      <c r="N22" s="4" t="n">
        <v>0</v>
      </c>
      <c r="O22" s="4" t="n">
        <v>1</v>
      </c>
      <c r="P22" s="4" t="n">
        <v>138</v>
      </c>
      <c r="Q22" s="4" t="n">
        <v>11</v>
      </c>
      <c r="R22" s="4" t="n">
        <v>0</v>
      </c>
      <c r="S22" s="4" t="n">
        <v>24</v>
      </c>
      <c r="T22" s="4" t="n">
        <v>101</v>
      </c>
      <c r="U22" s="4" t="n">
        <v>48</v>
      </c>
      <c r="V22" s="4" t="n">
        <v>114</v>
      </c>
      <c r="W22" s="4" t="n">
        <v>0</v>
      </c>
    </row>
    <row r="23">
      <c r="A23" s="5" t="inlineStr">
        <is>
          <t>100604</t>
        </is>
      </c>
      <c r="B23" s="6" t="inlineStr">
        <is>
          <t>DECAN</t>
        </is>
      </c>
      <c r="C23" s="7" t="n">
        <v>27775</v>
      </c>
      <c r="D23" s="7" t="n">
        <v>22138</v>
      </c>
      <c r="E23" s="7" t="n">
        <v>796</v>
      </c>
      <c r="F23" s="7" t="n">
        <v>7529</v>
      </c>
      <c r="G23" s="7" t="n">
        <v>294</v>
      </c>
      <c r="H23" s="7" t="n">
        <v>7374</v>
      </c>
      <c r="I23" s="7" t="n">
        <v>296</v>
      </c>
      <c r="J23" s="7" t="n">
        <v>123</v>
      </c>
      <c r="K23" s="7" t="n">
        <v>552</v>
      </c>
      <c r="L23" s="7" t="n">
        <v>22</v>
      </c>
      <c r="M23" s="7" t="n">
        <v>27</v>
      </c>
      <c r="N23" s="7" t="n">
        <v>0</v>
      </c>
      <c r="O23" s="7" t="n">
        <v>1</v>
      </c>
      <c r="P23" s="7" t="n">
        <v>356</v>
      </c>
      <c r="Q23" s="7" t="n">
        <v>54</v>
      </c>
      <c r="R23" s="7" t="n">
        <v>10</v>
      </c>
      <c r="S23" s="7" t="n">
        <v>45</v>
      </c>
      <c r="T23" s="7" t="n">
        <v>284</v>
      </c>
      <c r="U23" s="7" t="n">
        <v>174</v>
      </c>
      <c r="V23" s="7" t="n">
        <v>299</v>
      </c>
      <c r="W23" s="7" t="n">
        <v>0</v>
      </c>
    </row>
    <row r="24">
      <c r="A24" s="2" t="inlineStr">
        <is>
          <t>100302</t>
        </is>
      </c>
      <c r="B24" s="3" t="inlineStr">
        <is>
          <t>KACANIK</t>
        </is>
      </c>
      <c r="C24" s="4" t="n">
        <v>27716</v>
      </c>
      <c r="D24" s="4" t="n">
        <v>21269</v>
      </c>
      <c r="E24" s="4" t="n">
        <v>940</v>
      </c>
      <c r="F24" s="4" t="n">
        <v>5947</v>
      </c>
      <c r="G24" s="4" t="n">
        <v>329</v>
      </c>
      <c r="H24" s="4" t="n">
        <v>5730</v>
      </c>
      <c r="I24" s="4" t="n">
        <v>286</v>
      </c>
      <c r="J24" s="4" t="n">
        <v>145</v>
      </c>
      <c r="K24" s="4" t="n">
        <v>643</v>
      </c>
      <c r="L24" s="4" t="n">
        <v>52</v>
      </c>
      <c r="M24" s="4" t="n">
        <v>43</v>
      </c>
      <c r="N24" s="4" t="n">
        <v>0</v>
      </c>
      <c r="O24" s="4" t="n">
        <v>3</v>
      </c>
      <c r="P24" s="4" t="n">
        <v>356</v>
      </c>
      <c r="Q24" s="4" t="n">
        <v>42</v>
      </c>
      <c r="R24" s="4" t="n">
        <v>5</v>
      </c>
      <c r="S24" s="4" t="n">
        <v>102</v>
      </c>
      <c r="T24" s="4" t="n">
        <v>295</v>
      </c>
      <c r="U24" s="4" t="n">
        <v>125</v>
      </c>
      <c r="V24" s="4" t="n">
        <v>289</v>
      </c>
      <c r="W24" s="4" t="n">
        <v>0</v>
      </c>
    </row>
    <row r="25">
      <c r="A25" s="5" t="inlineStr">
        <is>
          <t>100202</t>
        </is>
      </c>
      <c r="B25" s="6" t="inlineStr">
        <is>
          <t>KAMENICE</t>
        </is>
      </c>
      <c r="C25" s="7" t="n">
        <v>22868</v>
      </c>
      <c r="D25" s="7" t="n">
        <v>19137</v>
      </c>
      <c r="E25" s="7" t="n">
        <v>949</v>
      </c>
      <c r="F25" s="7" t="n">
        <v>3239</v>
      </c>
      <c r="G25" s="7" t="n">
        <v>136</v>
      </c>
      <c r="H25" s="7" t="n">
        <v>3058</v>
      </c>
      <c r="I25" s="7" t="n">
        <v>113</v>
      </c>
      <c r="J25" s="7" t="n">
        <v>124</v>
      </c>
      <c r="K25" s="7" t="n">
        <v>268</v>
      </c>
      <c r="L25" s="7" t="n">
        <v>21</v>
      </c>
      <c r="M25" s="7" t="n">
        <v>3</v>
      </c>
      <c r="N25" s="7" t="n">
        <v>0</v>
      </c>
      <c r="O25" s="7" t="n">
        <v>0</v>
      </c>
      <c r="P25" s="7" t="n">
        <v>146</v>
      </c>
      <c r="Q25" s="7" t="n">
        <v>28</v>
      </c>
      <c r="R25" s="7" t="n">
        <v>1</v>
      </c>
      <c r="S25" s="7" t="n">
        <v>32</v>
      </c>
      <c r="T25" s="7" t="n">
        <v>123</v>
      </c>
      <c r="U25" s="7" t="n">
        <v>51</v>
      </c>
      <c r="V25" s="7" t="n">
        <v>120</v>
      </c>
      <c r="W25" s="7" t="n">
        <v>0</v>
      </c>
    </row>
    <row r="26">
      <c r="A26" s="2" t="inlineStr">
        <is>
          <t>100703</t>
        </is>
      </c>
      <c r="B26" s="3" t="inlineStr">
        <is>
          <t>MIT. VERIORE</t>
        </is>
      </c>
      <c r="C26" s="4" t="n">
        <v>7920</v>
      </c>
      <c r="D26" s="4" t="n">
        <v>6833</v>
      </c>
      <c r="E26" s="4" t="n">
        <v>312</v>
      </c>
      <c r="F26" s="4" t="n">
        <v>9261</v>
      </c>
      <c r="G26" s="4" t="n">
        <v>308</v>
      </c>
      <c r="H26" s="4" t="n">
        <v>9307</v>
      </c>
      <c r="I26" s="4" t="n">
        <v>245</v>
      </c>
      <c r="J26" s="4" t="n">
        <v>89</v>
      </c>
      <c r="K26" s="4" t="n">
        <v>403</v>
      </c>
      <c r="L26" s="4" t="n">
        <v>1</v>
      </c>
      <c r="M26" s="4" t="n">
        <v>1</v>
      </c>
      <c r="N26" s="4" t="n">
        <v>0</v>
      </c>
      <c r="O26" s="4" t="n">
        <v>0</v>
      </c>
      <c r="P26" s="4" t="n">
        <v>320</v>
      </c>
      <c r="Q26" s="4" t="n">
        <v>81</v>
      </c>
      <c r="R26" s="4" t="n">
        <v>2</v>
      </c>
      <c r="S26" s="4" t="n">
        <v>3</v>
      </c>
      <c r="T26" s="4" t="n">
        <v>281</v>
      </c>
      <c r="U26" s="4" t="n">
        <v>265</v>
      </c>
      <c r="V26" s="4" t="n">
        <v>247</v>
      </c>
      <c r="W26" s="4" t="n">
        <v>0</v>
      </c>
    </row>
    <row r="27">
      <c r="A27" s="5" t="inlineStr">
        <is>
          <t>100301</t>
        </is>
      </c>
      <c r="B27" s="6" t="inlineStr">
        <is>
          <t>HANI I ELEZIT</t>
        </is>
      </c>
      <c r="C27" s="7" t="n">
        <v>8533</v>
      </c>
      <c r="D27" s="7" t="n">
        <v>6447</v>
      </c>
      <c r="E27" s="7" t="n">
        <v>282</v>
      </c>
      <c r="F27" s="7" t="n">
        <v>3424</v>
      </c>
      <c r="G27" s="7" t="n">
        <v>191</v>
      </c>
      <c r="H27" s="7" t="n">
        <v>3155</v>
      </c>
      <c r="I27" s="7" t="n">
        <v>174</v>
      </c>
      <c r="J27" s="7" t="n">
        <v>93</v>
      </c>
      <c r="K27" s="7" t="n">
        <v>522</v>
      </c>
      <c r="L27" s="7" t="n">
        <v>4</v>
      </c>
      <c r="M27" s="7" t="n">
        <v>9</v>
      </c>
      <c r="N27" s="7" t="n">
        <v>0</v>
      </c>
      <c r="O27" s="7" t="n">
        <v>0</v>
      </c>
      <c r="P27" s="7" t="n">
        <v>206</v>
      </c>
      <c r="Q27" s="7" t="n">
        <v>27</v>
      </c>
      <c r="R27" s="7" t="n">
        <v>0</v>
      </c>
      <c r="S27" s="7" t="n">
        <v>22</v>
      </c>
      <c r="T27" s="7" t="n">
        <v>168</v>
      </c>
      <c r="U27" s="7" t="n">
        <v>76</v>
      </c>
      <c r="V27" s="7" t="n">
        <v>168</v>
      </c>
      <c r="W27" s="7" t="n">
        <v>0</v>
      </c>
    </row>
    <row r="28">
      <c r="A28" s="2" t="inlineStr">
        <is>
          <t>100303</t>
        </is>
      </c>
      <c r="B28" s="3" t="inlineStr">
        <is>
          <t>SHTERPC</t>
        </is>
      </c>
      <c r="C28" s="4" t="n">
        <v>10771</v>
      </c>
      <c r="D28" s="4" t="n">
        <v>9026</v>
      </c>
      <c r="E28" s="4" t="n">
        <v>266</v>
      </c>
      <c r="F28" s="4" t="n">
        <v>2976</v>
      </c>
      <c r="G28" s="4" t="n">
        <v>99</v>
      </c>
      <c r="H28" s="4" t="n">
        <v>2881</v>
      </c>
      <c r="I28" s="4" t="n">
        <v>92</v>
      </c>
      <c r="J28" s="4" t="n">
        <v>71</v>
      </c>
      <c r="K28" s="4" t="n">
        <v>322</v>
      </c>
      <c r="L28" s="4" t="n">
        <v>5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9</v>
      </c>
      <c r="R28" s="4" t="n">
        <v>0</v>
      </c>
      <c r="S28" s="4" t="n">
        <v>32</v>
      </c>
      <c r="T28" s="4" t="n">
        <v>64</v>
      </c>
      <c r="U28" s="4" t="n">
        <v>26</v>
      </c>
      <c r="V28" s="4" t="n">
        <v>92</v>
      </c>
      <c r="W28" s="4" t="n">
        <v>0</v>
      </c>
    </row>
    <row r="29">
      <c r="A29" s="5" t="inlineStr">
        <is>
          <t>100705</t>
        </is>
      </c>
      <c r="B29" s="6" t="inlineStr">
        <is>
          <t>LEPOSAVIQ</t>
        </is>
      </c>
      <c r="C29" s="7" t="n">
        <v>9485</v>
      </c>
      <c r="D29" s="7" t="n">
        <v>8435</v>
      </c>
      <c r="E29" s="7" t="n">
        <v>269</v>
      </c>
      <c r="F29" s="7" t="n">
        <v>389</v>
      </c>
      <c r="G29" s="7" t="n">
        <v>79</v>
      </c>
      <c r="H29" s="7" t="n">
        <v>193</v>
      </c>
      <c r="I29" s="7" t="n">
        <v>43</v>
      </c>
      <c r="J29" s="7" t="n">
        <v>0</v>
      </c>
      <c r="K29" s="7" t="n">
        <v>4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80</v>
      </c>
      <c r="Q29" s="7" t="n">
        <v>3</v>
      </c>
      <c r="R29" s="7" t="n">
        <v>0</v>
      </c>
      <c r="S29" s="7" t="n">
        <v>0</v>
      </c>
      <c r="T29" s="7" t="n">
        <v>74</v>
      </c>
      <c r="U29" s="7" t="n">
        <v>41</v>
      </c>
      <c r="V29" s="7" t="n">
        <v>41</v>
      </c>
      <c r="W29" s="7" t="n">
        <v>0</v>
      </c>
    </row>
    <row r="30">
      <c r="A30" s="2" t="inlineStr">
        <is>
          <t>100706</t>
        </is>
      </c>
      <c r="B30" s="3" t="inlineStr">
        <is>
          <t>ZUBIN POTOK</t>
        </is>
      </c>
      <c r="C30" s="4" t="n">
        <v>3385</v>
      </c>
      <c r="D30" s="4" t="n">
        <v>2940</v>
      </c>
      <c r="E30" s="4" t="n">
        <v>93</v>
      </c>
      <c r="F30" s="4" t="n">
        <v>184</v>
      </c>
      <c r="G30" s="4" t="n">
        <v>26</v>
      </c>
      <c r="H30" s="4" t="n">
        <v>39</v>
      </c>
      <c r="I30" s="4" t="n">
        <v>6</v>
      </c>
      <c r="J30" s="4" t="n">
        <v>0</v>
      </c>
      <c r="K30" s="4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27</v>
      </c>
      <c r="Q30" s="4" t="n">
        <v>6</v>
      </c>
      <c r="R30" s="4" t="n">
        <v>0</v>
      </c>
      <c r="S30" s="4" t="n">
        <v>0</v>
      </c>
      <c r="T30" s="4" t="n">
        <v>24</v>
      </c>
      <c r="U30" s="4" t="n">
        <v>24</v>
      </c>
      <c r="V30" s="4" t="n">
        <v>5</v>
      </c>
      <c r="W30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R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City</t>
        </is>
      </c>
      <c r="B1" s="1" t="inlineStr">
        <is>
          <t>PI Penetration</t>
        </is>
      </c>
      <c r="C1" s="1" t="inlineStr">
        <is>
          <t>Biz Penetration</t>
        </is>
      </c>
      <c r="D1" s="1" t="inlineStr">
        <is>
          <t>PI Growth %</t>
        </is>
      </c>
      <c r="E1" s="1" t="inlineStr">
        <is>
          <t>Biz Growth %</t>
        </is>
      </c>
      <c r="F1" s="1" t="inlineStr">
        <is>
          <t>Mortgage %</t>
        </is>
      </c>
      <c r="G1" s="1" t="inlineStr">
        <is>
          <t>Consumer Loan %</t>
        </is>
      </c>
      <c r="H1" s="1" t="inlineStr">
        <is>
          <t>CC Penetration %</t>
        </is>
      </c>
      <c r="I1" s="1" t="inlineStr">
        <is>
          <t>OVD Penetration %</t>
        </is>
      </c>
      <c r="J1" s="1" t="inlineStr">
        <is>
          <t>Lending Intensity</t>
        </is>
      </c>
      <c r="K1" s="1" t="inlineStr">
        <is>
          <t>Products per PI</t>
        </is>
      </c>
      <c r="L1" s="1" t="inlineStr">
        <is>
          <t>POS per 1000 Biz</t>
        </is>
      </c>
      <c r="M1" s="1" t="inlineStr">
        <is>
          <t>M-Banking Rate</t>
        </is>
      </c>
      <c r="N1" s="1" t="inlineStr">
        <is>
          <t>E-Banking Rate</t>
        </is>
      </c>
      <c r="O1" s="1" t="inlineStr">
        <is>
          <t>Biz CA Penetration</t>
        </is>
      </c>
      <c r="P1" s="1" t="inlineStr">
        <is>
          <t>Opportunity Score</t>
        </is>
      </c>
      <c r="Q1" s="1" t="inlineStr">
        <is>
          <t>Underperformance Score</t>
        </is>
      </c>
      <c r="R1" s="1" t="inlineStr">
        <is>
          <t>Action Priority</t>
        </is>
      </c>
    </row>
    <row r="2">
      <c r="A2" s="8">
        <f>Branch_Master_Data!B2</f>
        <v/>
      </c>
      <c r="B2" s="9">
        <f>Branch_Master_Data!F2/Branch_Master_Data!D2</f>
        <v/>
      </c>
      <c r="C2" s="9">
        <f>IF(Branch_Master_Data!E2&gt;0,Branch_Master_Data!H2/Branch_Master_Data!E2,0)</f>
        <v/>
      </c>
      <c r="D2" s="9">
        <f>IF(Branch_Master_Data!G2&gt;0,(Branch_Master_Data!F2-Branch_Master_Data!G2)/Branch_Master_Data!G2,0)</f>
        <v/>
      </c>
      <c r="E2" s="9">
        <f>IF(Branch_Master_Data!I2&gt;0,(Branch_Master_Data!H2-Branch_Master_Data!I2)/Branch_Master_Data!I2,0)</f>
        <v/>
      </c>
      <c r="F2" s="9">
        <f>IF(Branch_Master_Data!F2&gt;0,Branch_Master_Data!J2/Branch_Master_Data!F2,0)</f>
        <v/>
      </c>
      <c r="G2" s="9">
        <f>IF(Branch_Master_Data!F2&gt;0,Branch_Master_Data!K2/Branch_Master_Data!F2,0)</f>
        <v/>
      </c>
      <c r="H2" s="9">
        <f>IF(Branch_Master_Data!F2&gt;0,Branch_Master_Data!L2/Branch_Master_Data!F2,0)</f>
        <v/>
      </c>
      <c r="I2" s="9">
        <f>IF(Branch_Master_Data!F2&gt;0,Branch_Master_Data!M2/Branch_Master_Data!F2,0)</f>
        <v/>
      </c>
      <c r="J2" s="9">
        <f>IF(Branch_Master_Data!F2&gt;0,(Branch_Master_Data!J2+Branch_Master_Data!K2)/Branch_Master_Data!F2,0)</f>
        <v/>
      </c>
      <c r="K2" s="10">
        <f>IF(Branch_Master_Data!F2&gt;0,(Branch_Master_Data!P2+Branch_Master_Data!N2+Branch_Master_Data!O2+Branch_Master_Data!J2+Branch_Master_Data!K2+Branch_Master_Data!L2+Branch_Master_Data!M2)/Branch_Master_Data!F2,0)</f>
        <v/>
      </c>
      <c r="L2" s="11">
        <f>IF(Branch_Master_Data!E2&gt;0,Branch_Master_Data!Q2/Branch_Master_Data!E2*1000,0)</f>
        <v/>
      </c>
      <c r="M2" s="9">
        <f>IF(Branch_Master_Data!F2&gt;0,Branch_Master_Data!T2/Branch_Master_Data!F2,0)</f>
        <v/>
      </c>
      <c r="N2" s="9">
        <f>IF(Branch_Master_Data!F2&gt;0,Branch_Master_Data!U2/Branch_Master_Data!F2,0)</f>
        <v/>
      </c>
      <c r="O2" s="9">
        <f>IF(Branch_Master_Data!E2&gt;0,Branch_Master_Data!V2/Branch_Master_Data!E2,0)</f>
        <v/>
      </c>
      <c r="P2" s="11">
        <f>(1-B2)*Branch_Master_Data!D2/10000+(1-C2)*Branch_Master_Data!E2/1000</f>
        <v/>
      </c>
      <c r="Q2" s="11">
        <f>MAX(0,(0.192-B2)*50)+MAX(0,(0.169-C2)*30)+MAX(0,(0.039-D2)*20)</f>
        <v/>
      </c>
      <c r="R2" s="11">
        <f>P2*Q2</f>
        <v/>
      </c>
    </row>
    <row r="3">
      <c r="A3" s="12">
        <f>Branch_Master_Data!B3</f>
        <v/>
      </c>
      <c r="B3" s="13">
        <f>Branch_Master_Data!F3/Branch_Master_Data!D3</f>
        <v/>
      </c>
      <c r="C3" s="13">
        <f>IF(Branch_Master_Data!E3&gt;0,Branch_Master_Data!H3/Branch_Master_Data!E3,0)</f>
        <v/>
      </c>
      <c r="D3" s="13">
        <f>IF(Branch_Master_Data!G3&gt;0,(Branch_Master_Data!F3-Branch_Master_Data!G3)/Branch_Master_Data!G3,0)</f>
        <v/>
      </c>
      <c r="E3" s="13">
        <f>IF(Branch_Master_Data!I3&gt;0,(Branch_Master_Data!H3-Branch_Master_Data!I3)/Branch_Master_Data!I3,0)</f>
        <v/>
      </c>
      <c r="F3" s="13">
        <f>IF(Branch_Master_Data!F3&gt;0,Branch_Master_Data!J3/Branch_Master_Data!F3,0)</f>
        <v/>
      </c>
      <c r="G3" s="13">
        <f>IF(Branch_Master_Data!F3&gt;0,Branch_Master_Data!K3/Branch_Master_Data!F3,0)</f>
        <v/>
      </c>
      <c r="H3" s="13">
        <f>IF(Branch_Master_Data!F3&gt;0,Branch_Master_Data!L3/Branch_Master_Data!F3,0)</f>
        <v/>
      </c>
      <c r="I3" s="13">
        <f>IF(Branch_Master_Data!F3&gt;0,Branch_Master_Data!M3/Branch_Master_Data!F3,0)</f>
        <v/>
      </c>
      <c r="J3" s="13">
        <f>IF(Branch_Master_Data!F3&gt;0,(Branch_Master_Data!J3+Branch_Master_Data!K3)/Branch_Master_Data!F3,0)</f>
        <v/>
      </c>
      <c r="K3" s="14">
        <f>IF(Branch_Master_Data!F3&gt;0,(Branch_Master_Data!P3+Branch_Master_Data!N3+Branch_Master_Data!O3+Branch_Master_Data!J3+Branch_Master_Data!K3+Branch_Master_Data!L3+Branch_Master_Data!M3)/Branch_Master_Data!F3,0)</f>
        <v/>
      </c>
      <c r="L3" s="15">
        <f>IF(Branch_Master_Data!E3&gt;0,Branch_Master_Data!Q3/Branch_Master_Data!E3*1000,0)</f>
        <v/>
      </c>
      <c r="M3" s="13">
        <f>IF(Branch_Master_Data!F3&gt;0,Branch_Master_Data!T3/Branch_Master_Data!F3,0)</f>
        <v/>
      </c>
      <c r="N3" s="13">
        <f>IF(Branch_Master_Data!F3&gt;0,Branch_Master_Data!U3/Branch_Master_Data!F3,0)</f>
        <v/>
      </c>
      <c r="O3" s="13">
        <f>IF(Branch_Master_Data!E3&gt;0,Branch_Master_Data!V3/Branch_Master_Data!E3,0)</f>
        <v/>
      </c>
      <c r="P3" s="15">
        <f>(1-B3)*Branch_Master_Data!D3/10000+(1-C3)*Branch_Master_Data!E3/1000</f>
        <v/>
      </c>
      <c r="Q3" s="15">
        <f>MAX(0,(0.192-B3)*50)+MAX(0,(0.169-C3)*30)+MAX(0,(0.039-D3)*20)</f>
        <v/>
      </c>
      <c r="R3" s="15">
        <f>P3*Q3</f>
        <v/>
      </c>
    </row>
    <row r="4">
      <c r="A4" s="8">
        <f>Branch_Master_Data!B4</f>
        <v/>
      </c>
      <c r="B4" s="9">
        <f>Branch_Master_Data!F4/Branch_Master_Data!D4</f>
        <v/>
      </c>
      <c r="C4" s="9">
        <f>IF(Branch_Master_Data!E4&gt;0,Branch_Master_Data!H4/Branch_Master_Data!E4,0)</f>
        <v/>
      </c>
      <c r="D4" s="9">
        <f>IF(Branch_Master_Data!G4&gt;0,(Branch_Master_Data!F4-Branch_Master_Data!G4)/Branch_Master_Data!G4,0)</f>
        <v/>
      </c>
      <c r="E4" s="9">
        <f>IF(Branch_Master_Data!I4&gt;0,(Branch_Master_Data!H4-Branch_Master_Data!I4)/Branch_Master_Data!I4,0)</f>
        <v/>
      </c>
      <c r="F4" s="9">
        <f>IF(Branch_Master_Data!F4&gt;0,Branch_Master_Data!J4/Branch_Master_Data!F4,0)</f>
        <v/>
      </c>
      <c r="G4" s="9">
        <f>IF(Branch_Master_Data!F4&gt;0,Branch_Master_Data!K4/Branch_Master_Data!F4,0)</f>
        <v/>
      </c>
      <c r="H4" s="9">
        <f>IF(Branch_Master_Data!F4&gt;0,Branch_Master_Data!L4/Branch_Master_Data!F4,0)</f>
        <v/>
      </c>
      <c r="I4" s="9">
        <f>IF(Branch_Master_Data!F4&gt;0,Branch_Master_Data!M4/Branch_Master_Data!F4,0)</f>
        <v/>
      </c>
      <c r="J4" s="9">
        <f>IF(Branch_Master_Data!F4&gt;0,(Branch_Master_Data!J4+Branch_Master_Data!K4)/Branch_Master_Data!F4,0)</f>
        <v/>
      </c>
      <c r="K4" s="10">
        <f>IF(Branch_Master_Data!F4&gt;0,(Branch_Master_Data!P4+Branch_Master_Data!N4+Branch_Master_Data!O4+Branch_Master_Data!J4+Branch_Master_Data!K4+Branch_Master_Data!L4+Branch_Master_Data!M4)/Branch_Master_Data!F4,0)</f>
        <v/>
      </c>
      <c r="L4" s="11">
        <f>IF(Branch_Master_Data!E4&gt;0,Branch_Master_Data!Q4/Branch_Master_Data!E4*1000,0)</f>
        <v/>
      </c>
      <c r="M4" s="9">
        <f>IF(Branch_Master_Data!F4&gt;0,Branch_Master_Data!T4/Branch_Master_Data!F4,0)</f>
        <v/>
      </c>
      <c r="N4" s="9">
        <f>IF(Branch_Master_Data!F4&gt;0,Branch_Master_Data!U4/Branch_Master_Data!F4,0)</f>
        <v/>
      </c>
      <c r="O4" s="9">
        <f>IF(Branch_Master_Data!E4&gt;0,Branch_Master_Data!V4/Branch_Master_Data!E4,0)</f>
        <v/>
      </c>
      <c r="P4" s="11">
        <f>(1-B4)*Branch_Master_Data!D4/10000+(1-C4)*Branch_Master_Data!E4/1000</f>
        <v/>
      </c>
      <c r="Q4" s="11">
        <f>MAX(0,(0.192-B4)*50)+MAX(0,(0.169-C4)*30)+MAX(0,(0.039-D4)*20)</f>
        <v/>
      </c>
      <c r="R4" s="11">
        <f>P4*Q4</f>
        <v/>
      </c>
    </row>
    <row r="5">
      <c r="A5" s="12">
        <f>Branch_Master_Data!B5</f>
        <v/>
      </c>
      <c r="B5" s="13">
        <f>Branch_Master_Data!F5/Branch_Master_Data!D5</f>
        <v/>
      </c>
      <c r="C5" s="13">
        <f>IF(Branch_Master_Data!E5&gt;0,Branch_Master_Data!H5/Branch_Master_Data!E5,0)</f>
        <v/>
      </c>
      <c r="D5" s="13">
        <f>IF(Branch_Master_Data!G5&gt;0,(Branch_Master_Data!F5-Branch_Master_Data!G5)/Branch_Master_Data!G5,0)</f>
        <v/>
      </c>
      <c r="E5" s="13">
        <f>IF(Branch_Master_Data!I5&gt;0,(Branch_Master_Data!H5-Branch_Master_Data!I5)/Branch_Master_Data!I5,0)</f>
        <v/>
      </c>
      <c r="F5" s="13">
        <f>IF(Branch_Master_Data!F5&gt;0,Branch_Master_Data!J5/Branch_Master_Data!F5,0)</f>
        <v/>
      </c>
      <c r="G5" s="13">
        <f>IF(Branch_Master_Data!F5&gt;0,Branch_Master_Data!K5/Branch_Master_Data!F5,0)</f>
        <v/>
      </c>
      <c r="H5" s="13">
        <f>IF(Branch_Master_Data!F5&gt;0,Branch_Master_Data!L5/Branch_Master_Data!F5,0)</f>
        <v/>
      </c>
      <c r="I5" s="13">
        <f>IF(Branch_Master_Data!F5&gt;0,Branch_Master_Data!M5/Branch_Master_Data!F5,0)</f>
        <v/>
      </c>
      <c r="J5" s="13">
        <f>IF(Branch_Master_Data!F5&gt;0,(Branch_Master_Data!J5+Branch_Master_Data!K5)/Branch_Master_Data!F5,0)</f>
        <v/>
      </c>
      <c r="K5" s="14">
        <f>IF(Branch_Master_Data!F5&gt;0,(Branch_Master_Data!P5+Branch_Master_Data!N5+Branch_Master_Data!O5+Branch_Master_Data!J5+Branch_Master_Data!K5+Branch_Master_Data!L5+Branch_Master_Data!M5)/Branch_Master_Data!F5,0)</f>
        <v/>
      </c>
      <c r="L5" s="15">
        <f>IF(Branch_Master_Data!E5&gt;0,Branch_Master_Data!Q5/Branch_Master_Data!E5*1000,0)</f>
        <v/>
      </c>
      <c r="M5" s="13">
        <f>IF(Branch_Master_Data!F5&gt;0,Branch_Master_Data!T5/Branch_Master_Data!F5,0)</f>
        <v/>
      </c>
      <c r="N5" s="13">
        <f>IF(Branch_Master_Data!F5&gt;0,Branch_Master_Data!U5/Branch_Master_Data!F5,0)</f>
        <v/>
      </c>
      <c r="O5" s="13">
        <f>IF(Branch_Master_Data!E5&gt;0,Branch_Master_Data!V5/Branch_Master_Data!E5,0)</f>
        <v/>
      </c>
      <c r="P5" s="15">
        <f>(1-B5)*Branch_Master_Data!D5/10000+(1-C5)*Branch_Master_Data!E5/1000</f>
        <v/>
      </c>
      <c r="Q5" s="15">
        <f>MAX(0,(0.192-B5)*50)+MAX(0,(0.169-C5)*30)+MAX(0,(0.039-D5)*20)</f>
        <v/>
      </c>
      <c r="R5" s="15">
        <f>P5*Q5</f>
        <v/>
      </c>
    </row>
    <row r="6">
      <c r="A6" s="8">
        <f>Branch_Master_Data!B6</f>
        <v/>
      </c>
      <c r="B6" s="9">
        <f>Branch_Master_Data!F6/Branch_Master_Data!D6</f>
        <v/>
      </c>
      <c r="C6" s="9">
        <f>IF(Branch_Master_Data!E6&gt;0,Branch_Master_Data!H6/Branch_Master_Data!E6,0)</f>
        <v/>
      </c>
      <c r="D6" s="9">
        <f>IF(Branch_Master_Data!G6&gt;0,(Branch_Master_Data!F6-Branch_Master_Data!G6)/Branch_Master_Data!G6,0)</f>
        <v/>
      </c>
      <c r="E6" s="9">
        <f>IF(Branch_Master_Data!I6&gt;0,(Branch_Master_Data!H6-Branch_Master_Data!I6)/Branch_Master_Data!I6,0)</f>
        <v/>
      </c>
      <c r="F6" s="9">
        <f>IF(Branch_Master_Data!F6&gt;0,Branch_Master_Data!J6/Branch_Master_Data!F6,0)</f>
        <v/>
      </c>
      <c r="G6" s="9">
        <f>IF(Branch_Master_Data!F6&gt;0,Branch_Master_Data!K6/Branch_Master_Data!F6,0)</f>
        <v/>
      </c>
      <c r="H6" s="9">
        <f>IF(Branch_Master_Data!F6&gt;0,Branch_Master_Data!L6/Branch_Master_Data!F6,0)</f>
        <v/>
      </c>
      <c r="I6" s="9">
        <f>IF(Branch_Master_Data!F6&gt;0,Branch_Master_Data!M6/Branch_Master_Data!F6,0)</f>
        <v/>
      </c>
      <c r="J6" s="9">
        <f>IF(Branch_Master_Data!F6&gt;0,(Branch_Master_Data!J6+Branch_Master_Data!K6)/Branch_Master_Data!F6,0)</f>
        <v/>
      </c>
      <c r="K6" s="10">
        <f>IF(Branch_Master_Data!F6&gt;0,(Branch_Master_Data!P6+Branch_Master_Data!N6+Branch_Master_Data!O6+Branch_Master_Data!J6+Branch_Master_Data!K6+Branch_Master_Data!L6+Branch_Master_Data!M6)/Branch_Master_Data!F6,0)</f>
        <v/>
      </c>
      <c r="L6" s="11">
        <f>IF(Branch_Master_Data!E6&gt;0,Branch_Master_Data!Q6/Branch_Master_Data!E6*1000,0)</f>
        <v/>
      </c>
      <c r="M6" s="9">
        <f>IF(Branch_Master_Data!F6&gt;0,Branch_Master_Data!T6/Branch_Master_Data!F6,0)</f>
        <v/>
      </c>
      <c r="N6" s="9">
        <f>IF(Branch_Master_Data!F6&gt;0,Branch_Master_Data!U6/Branch_Master_Data!F6,0)</f>
        <v/>
      </c>
      <c r="O6" s="9">
        <f>IF(Branch_Master_Data!E6&gt;0,Branch_Master_Data!V6/Branch_Master_Data!E6,0)</f>
        <v/>
      </c>
      <c r="P6" s="11">
        <f>(1-B6)*Branch_Master_Data!D6/10000+(1-C6)*Branch_Master_Data!E6/1000</f>
        <v/>
      </c>
      <c r="Q6" s="11">
        <f>MAX(0,(0.192-B6)*50)+MAX(0,(0.169-C6)*30)+MAX(0,(0.039-D6)*20)</f>
        <v/>
      </c>
      <c r="R6" s="11">
        <f>P6*Q6</f>
        <v/>
      </c>
    </row>
    <row r="7">
      <c r="A7" s="12">
        <f>Branch_Master_Data!B7</f>
        <v/>
      </c>
      <c r="B7" s="13">
        <f>Branch_Master_Data!F7/Branch_Master_Data!D7</f>
        <v/>
      </c>
      <c r="C7" s="13">
        <f>IF(Branch_Master_Data!E7&gt;0,Branch_Master_Data!H7/Branch_Master_Data!E7,0)</f>
        <v/>
      </c>
      <c r="D7" s="13">
        <f>IF(Branch_Master_Data!G7&gt;0,(Branch_Master_Data!F7-Branch_Master_Data!G7)/Branch_Master_Data!G7,0)</f>
        <v/>
      </c>
      <c r="E7" s="13">
        <f>IF(Branch_Master_Data!I7&gt;0,(Branch_Master_Data!H7-Branch_Master_Data!I7)/Branch_Master_Data!I7,0)</f>
        <v/>
      </c>
      <c r="F7" s="13">
        <f>IF(Branch_Master_Data!F7&gt;0,Branch_Master_Data!J7/Branch_Master_Data!F7,0)</f>
        <v/>
      </c>
      <c r="G7" s="13">
        <f>IF(Branch_Master_Data!F7&gt;0,Branch_Master_Data!K7/Branch_Master_Data!F7,0)</f>
        <v/>
      </c>
      <c r="H7" s="13">
        <f>IF(Branch_Master_Data!F7&gt;0,Branch_Master_Data!L7/Branch_Master_Data!F7,0)</f>
        <v/>
      </c>
      <c r="I7" s="13">
        <f>IF(Branch_Master_Data!F7&gt;0,Branch_Master_Data!M7/Branch_Master_Data!F7,0)</f>
        <v/>
      </c>
      <c r="J7" s="13">
        <f>IF(Branch_Master_Data!F7&gt;0,(Branch_Master_Data!J7+Branch_Master_Data!K7)/Branch_Master_Data!F7,0)</f>
        <v/>
      </c>
      <c r="K7" s="14">
        <f>IF(Branch_Master_Data!F7&gt;0,(Branch_Master_Data!P7+Branch_Master_Data!N7+Branch_Master_Data!O7+Branch_Master_Data!J7+Branch_Master_Data!K7+Branch_Master_Data!L7+Branch_Master_Data!M7)/Branch_Master_Data!F7,0)</f>
        <v/>
      </c>
      <c r="L7" s="15">
        <f>IF(Branch_Master_Data!E7&gt;0,Branch_Master_Data!Q7/Branch_Master_Data!E7*1000,0)</f>
        <v/>
      </c>
      <c r="M7" s="13">
        <f>IF(Branch_Master_Data!F7&gt;0,Branch_Master_Data!T7/Branch_Master_Data!F7,0)</f>
        <v/>
      </c>
      <c r="N7" s="13">
        <f>IF(Branch_Master_Data!F7&gt;0,Branch_Master_Data!U7/Branch_Master_Data!F7,0)</f>
        <v/>
      </c>
      <c r="O7" s="13">
        <f>IF(Branch_Master_Data!E7&gt;0,Branch_Master_Data!V7/Branch_Master_Data!E7,0)</f>
        <v/>
      </c>
      <c r="P7" s="15">
        <f>(1-B7)*Branch_Master_Data!D7/10000+(1-C7)*Branch_Master_Data!E7/1000</f>
        <v/>
      </c>
      <c r="Q7" s="15">
        <f>MAX(0,(0.192-B7)*50)+MAX(0,(0.169-C7)*30)+MAX(0,(0.039-D7)*20)</f>
        <v/>
      </c>
      <c r="R7" s="15">
        <f>P7*Q7</f>
        <v/>
      </c>
    </row>
    <row r="8">
      <c r="A8" s="8">
        <f>Branch_Master_Data!B8</f>
        <v/>
      </c>
      <c r="B8" s="9">
        <f>Branch_Master_Data!F8/Branch_Master_Data!D8</f>
        <v/>
      </c>
      <c r="C8" s="9">
        <f>IF(Branch_Master_Data!E8&gt;0,Branch_Master_Data!H8/Branch_Master_Data!E8,0)</f>
        <v/>
      </c>
      <c r="D8" s="9">
        <f>IF(Branch_Master_Data!G8&gt;0,(Branch_Master_Data!F8-Branch_Master_Data!G8)/Branch_Master_Data!G8,0)</f>
        <v/>
      </c>
      <c r="E8" s="9">
        <f>IF(Branch_Master_Data!I8&gt;0,(Branch_Master_Data!H8-Branch_Master_Data!I8)/Branch_Master_Data!I8,0)</f>
        <v/>
      </c>
      <c r="F8" s="9">
        <f>IF(Branch_Master_Data!F8&gt;0,Branch_Master_Data!J8/Branch_Master_Data!F8,0)</f>
        <v/>
      </c>
      <c r="G8" s="9">
        <f>IF(Branch_Master_Data!F8&gt;0,Branch_Master_Data!K8/Branch_Master_Data!F8,0)</f>
        <v/>
      </c>
      <c r="H8" s="9">
        <f>IF(Branch_Master_Data!F8&gt;0,Branch_Master_Data!L8/Branch_Master_Data!F8,0)</f>
        <v/>
      </c>
      <c r="I8" s="9">
        <f>IF(Branch_Master_Data!F8&gt;0,Branch_Master_Data!M8/Branch_Master_Data!F8,0)</f>
        <v/>
      </c>
      <c r="J8" s="9">
        <f>IF(Branch_Master_Data!F8&gt;0,(Branch_Master_Data!J8+Branch_Master_Data!K8)/Branch_Master_Data!F8,0)</f>
        <v/>
      </c>
      <c r="K8" s="10">
        <f>IF(Branch_Master_Data!F8&gt;0,(Branch_Master_Data!P8+Branch_Master_Data!N8+Branch_Master_Data!O8+Branch_Master_Data!J8+Branch_Master_Data!K8+Branch_Master_Data!L8+Branch_Master_Data!M8)/Branch_Master_Data!F8,0)</f>
        <v/>
      </c>
      <c r="L8" s="11">
        <f>IF(Branch_Master_Data!E8&gt;0,Branch_Master_Data!Q8/Branch_Master_Data!E8*1000,0)</f>
        <v/>
      </c>
      <c r="M8" s="9">
        <f>IF(Branch_Master_Data!F8&gt;0,Branch_Master_Data!T8/Branch_Master_Data!F8,0)</f>
        <v/>
      </c>
      <c r="N8" s="9">
        <f>IF(Branch_Master_Data!F8&gt;0,Branch_Master_Data!U8/Branch_Master_Data!F8,0)</f>
        <v/>
      </c>
      <c r="O8" s="9">
        <f>IF(Branch_Master_Data!E8&gt;0,Branch_Master_Data!V8/Branch_Master_Data!E8,0)</f>
        <v/>
      </c>
      <c r="P8" s="11">
        <f>(1-B8)*Branch_Master_Data!D8/10000+(1-C8)*Branch_Master_Data!E8/1000</f>
        <v/>
      </c>
      <c r="Q8" s="11">
        <f>MAX(0,(0.192-B8)*50)+MAX(0,(0.169-C8)*30)+MAX(0,(0.039-D8)*20)</f>
        <v/>
      </c>
      <c r="R8" s="11">
        <f>P8*Q8</f>
        <v/>
      </c>
    </row>
    <row r="9">
      <c r="A9" s="12">
        <f>Branch_Master_Data!B9</f>
        <v/>
      </c>
      <c r="B9" s="13">
        <f>Branch_Master_Data!F9/Branch_Master_Data!D9</f>
        <v/>
      </c>
      <c r="C9" s="13">
        <f>IF(Branch_Master_Data!E9&gt;0,Branch_Master_Data!H9/Branch_Master_Data!E9,0)</f>
        <v/>
      </c>
      <c r="D9" s="13">
        <f>IF(Branch_Master_Data!G9&gt;0,(Branch_Master_Data!F9-Branch_Master_Data!G9)/Branch_Master_Data!G9,0)</f>
        <v/>
      </c>
      <c r="E9" s="13">
        <f>IF(Branch_Master_Data!I9&gt;0,(Branch_Master_Data!H9-Branch_Master_Data!I9)/Branch_Master_Data!I9,0)</f>
        <v/>
      </c>
      <c r="F9" s="13">
        <f>IF(Branch_Master_Data!F9&gt;0,Branch_Master_Data!J9/Branch_Master_Data!F9,0)</f>
        <v/>
      </c>
      <c r="G9" s="13">
        <f>IF(Branch_Master_Data!F9&gt;0,Branch_Master_Data!K9/Branch_Master_Data!F9,0)</f>
        <v/>
      </c>
      <c r="H9" s="13">
        <f>IF(Branch_Master_Data!F9&gt;0,Branch_Master_Data!L9/Branch_Master_Data!F9,0)</f>
        <v/>
      </c>
      <c r="I9" s="13">
        <f>IF(Branch_Master_Data!F9&gt;0,Branch_Master_Data!M9/Branch_Master_Data!F9,0)</f>
        <v/>
      </c>
      <c r="J9" s="13">
        <f>IF(Branch_Master_Data!F9&gt;0,(Branch_Master_Data!J9+Branch_Master_Data!K9)/Branch_Master_Data!F9,0)</f>
        <v/>
      </c>
      <c r="K9" s="14">
        <f>IF(Branch_Master_Data!F9&gt;0,(Branch_Master_Data!P9+Branch_Master_Data!N9+Branch_Master_Data!O9+Branch_Master_Data!J9+Branch_Master_Data!K9+Branch_Master_Data!L9+Branch_Master_Data!M9)/Branch_Master_Data!F9,0)</f>
        <v/>
      </c>
      <c r="L9" s="15">
        <f>IF(Branch_Master_Data!E9&gt;0,Branch_Master_Data!Q9/Branch_Master_Data!E9*1000,0)</f>
        <v/>
      </c>
      <c r="M9" s="13">
        <f>IF(Branch_Master_Data!F9&gt;0,Branch_Master_Data!T9/Branch_Master_Data!F9,0)</f>
        <v/>
      </c>
      <c r="N9" s="13">
        <f>IF(Branch_Master_Data!F9&gt;0,Branch_Master_Data!U9/Branch_Master_Data!F9,0)</f>
        <v/>
      </c>
      <c r="O9" s="13">
        <f>IF(Branch_Master_Data!E9&gt;0,Branch_Master_Data!V9/Branch_Master_Data!E9,0)</f>
        <v/>
      </c>
      <c r="P9" s="15">
        <f>(1-B9)*Branch_Master_Data!D9/10000+(1-C9)*Branch_Master_Data!E9/1000</f>
        <v/>
      </c>
      <c r="Q9" s="15">
        <f>MAX(0,(0.192-B9)*50)+MAX(0,(0.169-C9)*30)+MAX(0,(0.039-D9)*20)</f>
        <v/>
      </c>
      <c r="R9" s="15">
        <f>P9*Q9</f>
        <v/>
      </c>
    </row>
    <row r="10">
      <c r="A10" s="8">
        <f>Branch_Master_Data!B10</f>
        <v/>
      </c>
      <c r="B10" s="9">
        <f>Branch_Master_Data!F10/Branch_Master_Data!D10</f>
        <v/>
      </c>
      <c r="C10" s="9">
        <f>IF(Branch_Master_Data!E10&gt;0,Branch_Master_Data!H10/Branch_Master_Data!E10,0)</f>
        <v/>
      </c>
      <c r="D10" s="9">
        <f>IF(Branch_Master_Data!G10&gt;0,(Branch_Master_Data!F10-Branch_Master_Data!G10)/Branch_Master_Data!G10,0)</f>
        <v/>
      </c>
      <c r="E10" s="9">
        <f>IF(Branch_Master_Data!I10&gt;0,(Branch_Master_Data!H10-Branch_Master_Data!I10)/Branch_Master_Data!I10,0)</f>
        <v/>
      </c>
      <c r="F10" s="9">
        <f>IF(Branch_Master_Data!F10&gt;0,Branch_Master_Data!J10/Branch_Master_Data!F10,0)</f>
        <v/>
      </c>
      <c r="G10" s="9">
        <f>IF(Branch_Master_Data!F10&gt;0,Branch_Master_Data!K10/Branch_Master_Data!F10,0)</f>
        <v/>
      </c>
      <c r="H10" s="9">
        <f>IF(Branch_Master_Data!F10&gt;0,Branch_Master_Data!L10/Branch_Master_Data!F10,0)</f>
        <v/>
      </c>
      <c r="I10" s="9">
        <f>IF(Branch_Master_Data!F10&gt;0,Branch_Master_Data!M10/Branch_Master_Data!F10,0)</f>
        <v/>
      </c>
      <c r="J10" s="9">
        <f>IF(Branch_Master_Data!F10&gt;0,(Branch_Master_Data!J10+Branch_Master_Data!K10)/Branch_Master_Data!F10,0)</f>
        <v/>
      </c>
      <c r="K10" s="10">
        <f>IF(Branch_Master_Data!F10&gt;0,(Branch_Master_Data!P10+Branch_Master_Data!N10+Branch_Master_Data!O10+Branch_Master_Data!J10+Branch_Master_Data!K10+Branch_Master_Data!L10+Branch_Master_Data!M10)/Branch_Master_Data!F10,0)</f>
        <v/>
      </c>
      <c r="L10" s="11">
        <f>IF(Branch_Master_Data!E10&gt;0,Branch_Master_Data!Q10/Branch_Master_Data!E10*1000,0)</f>
        <v/>
      </c>
      <c r="M10" s="9">
        <f>IF(Branch_Master_Data!F10&gt;0,Branch_Master_Data!T10/Branch_Master_Data!F10,0)</f>
        <v/>
      </c>
      <c r="N10" s="9">
        <f>IF(Branch_Master_Data!F10&gt;0,Branch_Master_Data!U10/Branch_Master_Data!F10,0)</f>
        <v/>
      </c>
      <c r="O10" s="9">
        <f>IF(Branch_Master_Data!E10&gt;0,Branch_Master_Data!V10/Branch_Master_Data!E10,0)</f>
        <v/>
      </c>
      <c r="P10" s="11">
        <f>(1-B10)*Branch_Master_Data!D10/10000+(1-C10)*Branch_Master_Data!E10/1000</f>
        <v/>
      </c>
      <c r="Q10" s="11">
        <f>MAX(0,(0.192-B10)*50)+MAX(0,(0.169-C10)*30)+MAX(0,(0.039-D10)*20)</f>
        <v/>
      </c>
      <c r="R10" s="11">
        <f>P10*Q10</f>
        <v/>
      </c>
    </row>
    <row r="11">
      <c r="A11" s="12">
        <f>Branch_Master_Data!B11</f>
        <v/>
      </c>
      <c r="B11" s="13">
        <f>Branch_Master_Data!F11/Branch_Master_Data!D11</f>
        <v/>
      </c>
      <c r="C11" s="13">
        <f>IF(Branch_Master_Data!E11&gt;0,Branch_Master_Data!H11/Branch_Master_Data!E11,0)</f>
        <v/>
      </c>
      <c r="D11" s="13">
        <f>IF(Branch_Master_Data!G11&gt;0,(Branch_Master_Data!F11-Branch_Master_Data!G11)/Branch_Master_Data!G11,0)</f>
        <v/>
      </c>
      <c r="E11" s="13">
        <f>IF(Branch_Master_Data!I11&gt;0,(Branch_Master_Data!H11-Branch_Master_Data!I11)/Branch_Master_Data!I11,0)</f>
        <v/>
      </c>
      <c r="F11" s="13">
        <f>IF(Branch_Master_Data!F11&gt;0,Branch_Master_Data!J11/Branch_Master_Data!F11,0)</f>
        <v/>
      </c>
      <c r="G11" s="13">
        <f>IF(Branch_Master_Data!F11&gt;0,Branch_Master_Data!K11/Branch_Master_Data!F11,0)</f>
        <v/>
      </c>
      <c r="H11" s="13">
        <f>IF(Branch_Master_Data!F11&gt;0,Branch_Master_Data!L11/Branch_Master_Data!F11,0)</f>
        <v/>
      </c>
      <c r="I11" s="13">
        <f>IF(Branch_Master_Data!F11&gt;0,Branch_Master_Data!M11/Branch_Master_Data!F11,0)</f>
        <v/>
      </c>
      <c r="J11" s="13">
        <f>IF(Branch_Master_Data!F11&gt;0,(Branch_Master_Data!J11+Branch_Master_Data!K11)/Branch_Master_Data!F11,0)</f>
        <v/>
      </c>
      <c r="K11" s="14">
        <f>IF(Branch_Master_Data!F11&gt;0,(Branch_Master_Data!P11+Branch_Master_Data!N11+Branch_Master_Data!O11+Branch_Master_Data!J11+Branch_Master_Data!K11+Branch_Master_Data!L11+Branch_Master_Data!M11)/Branch_Master_Data!F11,0)</f>
        <v/>
      </c>
      <c r="L11" s="15">
        <f>IF(Branch_Master_Data!E11&gt;0,Branch_Master_Data!Q11/Branch_Master_Data!E11*1000,0)</f>
        <v/>
      </c>
      <c r="M11" s="13">
        <f>IF(Branch_Master_Data!F11&gt;0,Branch_Master_Data!T11/Branch_Master_Data!F11,0)</f>
        <v/>
      </c>
      <c r="N11" s="13">
        <f>IF(Branch_Master_Data!F11&gt;0,Branch_Master_Data!U11/Branch_Master_Data!F11,0)</f>
        <v/>
      </c>
      <c r="O11" s="13">
        <f>IF(Branch_Master_Data!E11&gt;0,Branch_Master_Data!V11/Branch_Master_Data!E11,0)</f>
        <v/>
      </c>
      <c r="P11" s="15">
        <f>(1-B11)*Branch_Master_Data!D11/10000+(1-C11)*Branch_Master_Data!E11/1000</f>
        <v/>
      </c>
      <c r="Q11" s="15">
        <f>MAX(0,(0.192-B11)*50)+MAX(0,(0.169-C11)*30)+MAX(0,(0.039-D11)*20)</f>
        <v/>
      </c>
      <c r="R11" s="15">
        <f>P11*Q11</f>
        <v/>
      </c>
    </row>
    <row r="12">
      <c r="A12" s="8">
        <f>Branch_Master_Data!B12</f>
        <v/>
      </c>
      <c r="B12" s="9">
        <f>Branch_Master_Data!F12/Branch_Master_Data!D12</f>
        <v/>
      </c>
      <c r="C12" s="9">
        <f>IF(Branch_Master_Data!E12&gt;0,Branch_Master_Data!H12/Branch_Master_Data!E12,0)</f>
        <v/>
      </c>
      <c r="D12" s="9">
        <f>IF(Branch_Master_Data!G12&gt;0,(Branch_Master_Data!F12-Branch_Master_Data!G12)/Branch_Master_Data!G12,0)</f>
        <v/>
      </c>
      <c r="E12" s="9">
        <f>IF(Branch_Master_Data!I12&gt;0,(Branch_Master_Data!H12-Branch_Master_Data!I12)/Branch_Master_Data!I12,0)</f>
        <v/>
      </c>
      <c r="F12" s="9">
        <f>IF(Branch_Master_Data!F12&gt;0,Branch_Master_Data!J12/Branch_Master_Data!F12,0)</f>
        <v/>
      </c>
      <c r="G12" s="9">
        <f>IF(Branch_Master_Data!F12&gt;0,Branch_Master_Data!K12/Branch_Master_Data!F12,0)</f>
        <v/>
      </c>
      <c r="H12" s="9">
        <f>IF(Branch_Master_Data!F12&gt;0,Branch_Master_Data!L12/Branch_Master_Data!F12,0)</f>
        <v/>
      </c>
      <c r="I12" s="9">
        <f>IF(Branch_Master_Data!F12&gt;0,Branch_Master_Data!M12/Branch_Master_Data!F12,0)</f>
        <v/>
      </c>
      <c r="J12" s="9">
        <f>IF(Branch_Master_Data!F12&gt;0,(Branch_Master_Data!J12+Branch_Master_Data!K12)/Branch_Master_Data!F12,0)</f>
        <v/>
      </c>
      <c r="K12" s="10">
        <f>IF(Branch_Master_Data!F12&gt;0,(Branch_Master_Data!P12+Branch_Master_Data!N12+Branch_Master_Data!O12+Branch_Master_Data!J12+Branch_Master_Data!K12+Branch_Master_Data!L12+Branch_Master_Data!M12)/Branch_Master_Data!F12,0)</f>
        <v/>
      </c>
      <c r="L12" s="11">
        <f>IF(Branch_Master_Data!E12&gt;0,Branch_Master_Data!Q12/Branch_Master_Data!E12*1000,0)</f>
        <v/>
      </c>
      <c r="M12" s="9">
        <f>IF(Branch_Master_Data!F12&gt;0,Branch_Master_Data!T12/Branch_Master_Data!F12,0)</f>
        <v/>
      </c>
      <c r="N12" s="9">
        <f>IF(Branch_Master_Data!F12&gt;0,Branch_Master_Data!U12/Branch_Master_Data!F12,0)</f>
        <v/>
      </c>
      <c r="O12" s="9">
        <f>IF(Branch_Master_Data!E12&gt;0,Branch_Master_Data!V12/Branch_Master_Data!E12,0)</f>
        <v/>
      </c>
      <c r="P12" s="11">
        <f>(1-B12)*Branch_Master_Data!D12/10000+(1-C12)*Branch_Master_Data!E12/1000</f>
        <v/>
      </c>
      <c r="Q12" s="11">
        <f>MAX(0,(0.192-B12)*50)+MAX(0,(0.169-C12)*30)+MAX(0,(0.039-D12)*20)</f>
        <v/>
      </c>
      <c r="R12" s="11">
        <f>P12*Q12</f>
        <v/>
      </c>
    </row>
    <row r="13">
      <c r="A13" s="12">
        <f>Branch_Master_Data!B13</f>
        <v/>
      </c>
      <c r="B13" s="13">
        <f>Branch_Master_Data!F13/Branch_Master_Data!D13</f>
        <v/>
      </c>
      <c r="C13" s="13">
        <f>IF(Branch_Master_Data!E13&gt;0,Branch_Master_Data!H13/Branch_Master_Data!E13,0)</f>
        <v/>
      </c>
      <c r="D13" s="13">
        <f>IF(Branch_Master_Data!G13&gt;0,(Branch_Master_Data!F13-Branch_Master_Data!G13)/Branch_Master_Data!G13,0)</f>
        <v/>
      </c>
      <c r="E13" s="13">
        <f>IF(Branch_Master_Data!I13&gt;0,(Branch_Master_Data!H13-Branch_Master_Data!I13)/Branch_Master_Data!I13,0)</f>
        <v/>
      </c>
      <c r="F13" s="13">
        <f>IF(Branch_Master_Data!F13&gt;0,Branch_Master_Data!J13/Branch_Master_Data!F13,0)</f>
        <v/>
      </c>
      <c r="G13" s="13">
        <f>IF(Branch_Master_Data!F13&gt;0,Branch_Master_Data!K13/Branch_Master_Data!F13,0)</f>
        <v/>
      </c>
      <c r="H13" s="13">
        <f>IF(Branch_Master_Data!F13&gt;0,Branch_Master_Data!L13/Branch_Master_Data!F13,0)</f>
        <v/>
      </c>
      <c r="I13" s="13">
        <f>IF(Branch_Master_Data!F13&gt;0,Branch_Master_Data!M13/Branch_Master_Data!F13,0)</f>
        <v/>
      </c>
      <c r="J13" s="13">
        <f>IF(Branch_Master_Data!F13&gt;0,(Branch_Master_Data!J13+Branch_Master_Data!K13)/Branch_Master_Data!F13,0)</f>
        <v/>
      </c>
      <c r="K13" s="14">
        <f>IF(Branch_Master_Data!F13&gt;0,(Branch_Master_Data!P13+Branch_Master_Data!N13+Branch_Master_Data!O13+Branch_Master_Data!J13+Branch_Master_Data!K13+Branch_Master_Data!L13+Branch_Master_Data!M13)/Branch_Master_Data!F13,0)</f>
        <v/>
      </c>
      <c r="L13" s="15">
        <f>IF(Branch_Master_Data!E13&gt;0,Branch_Master_Data!Q13/Branch_Master_Data!E13*1000,0)</f>
        <v/>
      </c>
      <c r="M13" s="13">
        <f>IF(Branch_Master_Data!F13&gt;0,Branch_Master_Data!T13/Branch_Master_Data!F13,0)</f>
        <v/>
      </c>
      <c r="N13" s="13">
        <f>IF(Branch_Master_Data!F13&gt;0,Branch_Master_Data!U13/Branch_Master_Data!F13,0)</f>
        <v/>
      </c>
      <c r="O13" s="13">
        <f>IF(Branch_Master_Data!E13&gt;0,Branch_Master_Data!V13/Branch_Master_Data!E13,0)</f>
        <v/>
      </c>
      <c r="P13" s="15">
        <f>(1-B13)*Branch_Master_Data!D13/10000+(1-C13)*Branch_Master_Data!E13/1000</f>
        <v/>
      </c>
      <c r="Q13" s="15">
        <f>MAX(0,(0.192-B13)*50)+MAX(0,(0.169-C13)*30)+MAX(0,(0.039-D13)*20)</f>
        <v/>
      </c>
      <c r="R13" s="15">
        <f>P13*Q13</f>
        <v/>
      </c>
    </row>
    <row r="14">
      <c r="A14" s="8">
        <f>Branch_Master_Data!B14</f>
        <v/>
      </c>
      <c r="B14" s="9">
        <f>Branch_Master_Data!F14/Branch_Master_Data!D14</f>
        <v/>
      </c>
      <c r="C14" s="9">
        <f>IF(Branch_Master_Data!E14&gt;0,Branch_Master_Data!H14/Branch_Master_Data!E14,0)</f>
        <v/>
      </c>
      <c r="D14" s="9">
        <f>IF(Branch_Master_Data!G14&gt;0,(Branch_Master_Data!F14-Branch_Master_Data!G14)/Branch_Master_Data!G14,0)</f>
        <v/>
      </c>
      <c r="E14" s="9">
        <f>IF(Branch_Master_Data!I14&gt;0,(Branch_Master_Data!H14-Branch_Master_Data!I14)/Branch_Master_Data!I14,0)</f>
        <v/>
      </c>
      <c r="F14" s="9">
        <f>IF(Branch_Master_Data!F14&gt;0,Branch_Master_Data!J14/Branch_Master_Data!F14,0)</f>
        <v/>
      </c>
      <c r="G14" s="9">
        <f>IF(Branch_Master_Data!F14&gt;0,Branch_Master_Data!K14/Branch_Master_Data!F14,0)</f>
        <v/>
      </c>
      <c r="H14" s="9">
        <f>IF(Branch_Master_Data!F14&gt;0,Branch_Master_Data!L14/Branch_Master_Data!F14,0)</f>
        <v/>
      </c>
      <c r="I14" s="9">
        <f>IF(Branch_Master_Data!F14&gt;0,Branch_Master_Data!M14/Branch_Master_Data!F14,0)</f>
        <v/>
      </c>
      <c r="J14" s="9">
        <f>IF(Branch_Master_Data!F14&gt;0,(Branch_Master_Data!J14+Branch_Master_Data!K14)/Branch_Master_Data!F14,0)</f>
        <v/>
      </c>
      <c r="K14" s="10">
        <f>IF(Branch_Master_Data!F14&gt;0,(Branch_Master_Data!P14+Branch_Master_Data!N14+Branch_Master_Data!O14+Branch_Master_Data!J14+Branch_Master_Data!K14+Branch_Master_Data!L14+Branch_Master_Data!M14)/Branch_Master_Data!F14,0)</f>
        <v/>
      </c>
      <c r="L14" s="11">
        <f>IF(Branch_Master_Data!E14&gt;0,Branch_Master_Data!Q14/Branch_Master_Data!E14*1000,0)</f>
        <v/>
      </c>
      <c r="M14" s="9">
        <f>IF(Branch_Master_Data!F14&gt;0,Branch_Master_Data!T14/Branch_Master_Data!F14,0)</f>
        <v/>
      </c>
      <c r="N14" s="9">
        <f>IF(Branch_Master_Data!F14&gt;0,Branch_Master_Data!U14/Branch_Master_Data!F14,0)</f>
        <v/>
      </c>
      <c r="O14" s="9">
        <f>IF(Branch_Master_Data!E14&gt;0,Branch_Master_Data!V14/Branch_Master_Data!E14,0)</f>
        <v/>
      </c>
      <c r="P14" s="11">
        <f>(1-B14)*Branch_Master_Data!D14/10000+(1-C14)*Branch_Master_Data!E14/1000</f>
        <v/>
      </c>
      <c r="Q14" s="11">
        <f>MAX(0,(0.192-B14)*50)+MAX(0,(0.169-C14)*30)+MAX(0,(0.039-D14)*20)</f>
        <v/>
      </c>
      <c r="R14" s="11">
        <f>P14*Q14</f>
        <v/>
      </c>
    </row>
    <row r="15">
      <c r="A15" s="12">
        <f>Branch_Master_Data!B15</f>
        <v/>
      </c>
      <c r="B15" s="13">
        <f>Branch_Master_Data!F15/Branch_Master_Data!D15</f>
        <v/>
      </c>
      <c r="C15" s="13">
        <f>IF(Branch_Master_Data!E15&gt;0,Branch_Master_Data!H15/Branch_Master_Data!E15,0)</f>
        <v/>
      </c>
      <c r="D15" s="13">
        <f>IF(Branch_Master_Data!G15&gt;0,(Branch_Master_Data!F15-Branch_Master_Data!G15)/Branch_Master_Data!G15,0)</f>
        <v/>
      </c>
      <c r="E15" s="13">
        <f>IF(Branch_Master_Data!I15&gt;0,(Branch_Master_Data!H15-Branch_Master_Data!I15)/Branch_Master_Data!I15,0)</f>
        <v/>
      </c>
      <c r="F15" s="13">
        <f>IF(Branch_Master_Data!F15&gt;0,Branch_Master_Data!J15/Branch_Master_Data!F15,0)</f>
        <v/>
      </c>
      <c r="G15" s="13">
        <f>IF(Branch_Master_Data!F15&gt;0,Branch_Master_Data!K15/Branch_Master_Data!F15,0)</f>
        <v/>
      </c>
      <c r="H15" s="13">
        <f>IF(Branch_Master_Data!F15&gt;0,Branch_Master_Data!L15/Branch_Master_Data!F15,0)</f>
        <v/>
      </c>
      <c r="I15" s="13">
        <f>IF(Branch_Master_Data!F15&gt;0,Branch_Master_Data!M15/Branch_Master_Data!F15,0)</f>
        <v/>
      </c>
      <c r="J15" s="13">
        <f>IF(Branch_Master_Data!F15&gt;0,(Branch_Master_Data!J15+Branch_Master_Data!K15)/Branch_Master_Data!F15,0)</f>
        <v/>
      </c>
      <c r="K15" s="14">
        <f>IF(Branch_Master_Data!F15&gt;0,(Branch_Master_Data!P15+Branch_Master_Data!N15+Branch_Master_Data!O15+Branch_Master_Data!J15+Branch_Master_Data!K15+Branch_Master_Data!L15+Branch_Master_Data!M15)/Branch_Master_Data!F15,0)</f>
        <v/>
      </c>
      <c r="L15" s="15">
        <f>IF(Branch_Master_Data!E15&gt;0,Branch_Master_Data!Q15/Branch_Master_Data!E15*1000,0)</f>
        <v/>
      </c>
      <c r="M15" s="13">
        <f>IF(Branch_Master_Data!F15&gt;0,Branch_Master_Data!T15/Branch_Master_Data!F15,0)</f>
        <v/>
      </c>
      <c r="N15" s="13">
        <f>IF(Branch_Master_Data!F15&gt;0,Branch_Master_Data!U15/Branch_Master_Data!F15,0)</f>
        <v/>
      </c>
      <c r="O15" s="13">
        <f>IF(Branch_Master_Data!E15&gt;0,Branch_Master_Data!V15/Branch_Master_Data!E15,0)</f>
        <v/>
      </c>
      <c r="P15" s="15">
        <f>(1-B15)*Branch_Master_Data!D15/10000+(1-C15)*Branch_Master_Data!E15/1000</f>
        <v/>
      </c>
      <c r="Q15" s="15">
        <f>MAX(0,(0.192-B15)*50)+MAX(0,(0.169-C15)*30)+MAX(0,(0.039-D15)*20)</f>
        <v/>
      </c>
      <c r="R15" s="15">
        <f>P15*Q15</f>
        <v/>
      </c>
    </row>
    <row r="16">
      <c r="A16" s="8">
        <f>Branch_Master_Data!B16</f>
        <v/>
      </c>
      <c r="B16" s="9">
        <f>Branch_Master_Data!F16/Branch_Master_Data!D16</f>
        <v/>
      </c>
      <c r="C16" s="9">
        <f>IF(Branch_Master_Data!E16&gt;0,Branch_Master_Data!H16/Branch_Master_Data!E16,0)</f>
        <v/>
      </c>
      <c r="D16" s="9">
        <f>IF(Branch_Master_Data!G16&gt;0,(Branch_Master_Data!F16-Branch_Master_Data!G16)/Branch_Master_Data!G16,0)</f>
        <v/>
      </c>
      <c r="E16" s="9">
        <f>IF(Branch_Master_Data!I16&gt;0,(Branch_Master_Data!H16-Branch_Master_Data!I16)/Branch_Master_Data!I16,0)</f>
        <v/>
      </c>
      <c r="F16" s="9">
        <f>IF(Branch_Master_Data!F16&gt;0,Branch_Master_Data!J16/Branch_Master_Data!F16,0)</f>
        <v/>
      </c>
      <c r="G16" s="9">
        <f>IF(Branch_Master_Data!F16&gt;0,Branch_Master_Data!K16/Branch_Master_Data!F16,0)</f>
        <v/>
      </c>
      <c r="H16" s="9">
        <f>IF(Branch_Master_Data!F16&gt;0,Branch_Master_Data!L16/Branch_Master_Data!F16,0)</f>
        <v/>
      </c>
      <c r="I16" s="9">
        <f>IF(Branch_Master_Data!F16&gt;0,Branch_Master_Data!M16/Branch_Master_Data!F16,0)</f>
        <v/>
      </c>
      <c r="J16" s="9">
        <f>IF(Branch_Master_Data!F16&gt;0,(Branch_Master_Data!J16+Branch_Master_Data!K16)/Branch_Master_Data!F16,0)</f>
        <v/>
      </c>
      <c r="K16" s="10">
        <f>IF(Branch_Master_Data!F16&gt;0,(Branch_Master_Data!P16+Branch_Master_Data!N16+Branch_Master_Data!O16+Branch_Master_Data!J16+Branch_Master_Data!K16+Branch_Master_Data!L16+Branch_Master_Data!M16)/Branch_Master_Data!F16,0)</f>
        <v/>
      </c>
      <c r="L16" s="11">
        <f>IF(Branch_Master_Data!E16&gt;0,Branch_Master_Data!Q16/Branch_Master_Data!E16*1000,0)</f>
        <v/>
      </c>
      <c r="M16" s="9">
        <f>IF(Branch_Master_Data!F16&gt;0,Branch_Master_Data!T16/Branch_Master_Data!F16,0)</f>
        <v/>
      </c>
      <c r="N16" s="9">
        <f>IF(Branch_Master_Data!F16&gt;0,Branch_Master_Data!U16/Branch_Master_Data!F16,0)</f>
        <v/>
      </c>
      <c r="O16" s="9">
        <f>IF(Branch_Master_Data!E16&gt;0,Branch_Master_Data!V16/Branch_Master_Data!E16,0)</f>
        <v/>
      </c>
      <c r="P16" s="11">
        <f>(1-B16)*Branch_Master_Data!D16/10000+(1-C16)*Branch_Master_Data!E16/1000</f>
        <v/>
      </c>
      <c r="Q16" s="11">
        <f>MAX(0,(0.192-B16)*50)+MAX(0,(0.169-C16)*30)+MAX(0,(0.039-D16)*20)</f>
        <v/>
      </c>
      <c r="R16" s="11">
        <f>P16*Q16</f>
        <v/>
      </c>
    </row>
    <row r="17">
      <c r="A17" s="12">
        <f>Branch_Master_Data!B17</f>
        <v/>
      </c>
      <c r="B17" s="13">
        <f>Branch_Master_Data!F17/Branch_Master_Data!D17</f>
        <v/>
      </c>
      <c r="C17" s="13">
        <f>IF(Branch_Master_Data!E17&gt;0,Branch_Master_Data!H17/Branch_Master_Data!E17,0)</f>
        <v/>
      </c>
      <c r="D17" s="13">
        <f>IF(Branch_Master_Data!G17&gt;0,(Branch_Master_Data!F17-Branch_Master_Data!G17)/Branch_Master_Data!G17,0)</f>
        <v/>
      </c>
      <c r="E17" s="13">
        <f>IF(Branch_Master_Data!I17&gt;0,(Branch_Master_Data!H17-Branch_Master_Data!I17)/Branch_Master_Data!I17,0)</f>
        <v/>
      </c>
      <c r="F17" s="13">
        <f>IF(Branch_Master_Data!F17&gt;0,Branch_Master_Data!J17/Branch_Master_Data!F17,0)</f>
        <v/>
      </c>
      <c r="G17" s="13">
        <f>IF(Branch_Master_Data!F17&gt;0,Branch_Master_Data!K17/Branch_Master_Data!F17,0)</f>
        <v/>
      </c>
      <c r="H17" s="13">
        <f>IF(Branch_Master_Data!F17&gt;0,Branch_Master_Data!L17/Branch_Master_Data!F17,0)</f>
        <v/>
      </c>
      <c r="I17" s="13">
        <f>IF(Branch_Master_Data!F17&gt;0,Branch_Master_Data!M17/Branch_Master_Data!F17,0)</f>
        <v/>
      </c>
      <c r="J17" s="13">
        <f>IF(Branch_Master_Data!F17&gt;0,(Branch_Master_Data!J17+Branch_Master_Data!K17)/Branch_Master_Data!F17,0)</f>
        <v/>
      </c>
      <c r="K17" s="14">
        <f>IF(Branch_Master_Data!F17&gt;0,(Branch_Master_Data!P17+Branch_Master_Data!N17+Branch_Master_Data!O17+Branch_Master_Data!J17+Branch_Master_Data!K17+Branch_Master_Data!L17+Branch_Master_Data!M17)/Branch_Master_Data!F17,0)</f>
        <v/>
      </c>
      <c r="L17" s="15">
        <f>IF(Branch_Master_Data!E17&gt;0,Branch_Master_Data!Q17/Branch_Master_Data!E17*1000,0)</f>
        <v/>
      </c>
      <c r="M17" s="13">
        <f>IF(Branch_Master_Data!F17&gt;0,Branch_Master_Data!T17/Branch_Master_Data!F17,0)</f>
        <v/>
      </c>
      <c r="N17" s="13">
        <f>IF(Branch_Master_Data!F17&gt;0,Branch_Master_Data!U17/Branch_Master_Data!F17,0)</f>
        <v/>
      </c>
      <c r="O17" s="13">
        <f>IF(Branch_Master_Data!E17&gt;0,Branch_Master_Data!V17/Branch_Master_Data!E17,0)</f>
        <v/>
      </c>
      <c r="P17" s="15">
        <f>(1-B17)*Branch_Master_Data!D17/10000+(1-C17)*Branch_Master_Data!E17/1000</f>
        <v/>
      </c>
      <c r="Q17" s="15">
        <f>MAX(0,(0.192-B17)*50)+MAX(0,(0.169-C17)*30)+MAX(0,(0.039-D17)*20)</f>
        <v/>
      </c>
      <c r="R17" s="15">
        <f>P17*Q17</f>
        <v/>
      </c>
    </row>
    <row r="18">
      <c r="A18" s="8">
        <f>Branch_Master_Data!B18</f>
        <v/>
      </c>
      <c r="B18" s="9">
        <f>Branch_Master_Data!F18/Branch_Master_Data!D18</f>
        <v/>
      </c>
      <c r="C18" s="9">
        <f>IF(Branch_Master_Data!E18&gt;0,Branch_Master_Data!H18/Branch_Master_Data!E18,0)</f>
        <v/>
      </c>
      <c r="D18" s="9">
        <f>IF(Branch_Master_Data!G18&gt;0,(Branch_Master_Data!F18-Branch_Master_Data!G18)/Branch_Master_Data!G18,0)</f>
        <v/>
      </c>
      <c r="E18" s="9">
        <f>IF(Branch_Master_Data!I18&gt;0,(Branch_Master_Data!H18-Branch_Master_Data!I18)/Branch_Master_Data!I18,0)</f>
        <v/>
      </c>
      <c r="F18" s="9">
        <f>IF(Branch_Master_Data!F18&gt;0,Branch_Master_Data!J18/Branch_Master_Data!F18,0)</f>
        <v/>
      </c>
      <c r="G18" s="9">
        <f>IF(Branch_Master_Data!F18&gt;0,Branch_Master_Data!K18/Branch_Master_Data!F18,0)</f>
        <v/>
      </c>
      <c r="H18" s="9">
        <f>IF(Branch_Master_Data!F18&gt;0,Branch_Master_Data!L18/Branch_Master_Data!F18,0)</f>
        <v/>
      </c>
      <c r="I18" s="9">
        <f>IF(Branch_Master_Data!F18&gt;0,Branch_Master_Data!M18/Branch_Master_Data!F18,0)</f>
        <v/>
      </c>
      <c r="J18" s="9">
        <f>IF(Branch_Master_Data!F18&gt;0,(Branch_Master_Data!J18+Branch_Master_Data!K18)/Branch_Master_Data!F18,0)</f>
        <v/>
      </c>
      <c r="K18" s="10">
        <f>IF(Branch_Master_Data!F18&gt;0,(Branch_Master_Data!P18+Branch_Master_Data!N18+Branch_Master_Data!O18+Branch_Master_Data!J18+Branch_Master_Data!K18+Branch_Master_Data!L18+Branch_Master_Data!M18)/Branch_Master_Data!F18,0)</f>
        <v/>
      </c>
      <c r="L18" s="11">
        <f>IF(Branch_Master_Data!E18&gt;0,Branch_Master_Data!Q18/Branch_Master_Data!E18*1000,0)</f>
        <v/>
      </c>
      <c r="M18" s="9">
        <f>IF(Branch_Master_Data!F18&gt;0,Branch_Master_Data!T18/Branch_Master_Data!F18,0)</f>
        <v/>
      </c>
      <c r="N18" s="9">
        <f>IF(Branch_Master_Data!F18&gt;0,Branch_Master_Data!U18/Branch_Master_Data!F18,0)</f>
        <v/>
      </c>
      <c r="O18" s="9">
        <f>IF(Branch_Master_Data!E18&gt;0,Branch_Master_Data!V18/Branch_Master_Data!E18,0)</f>
        <v/>
      </c>
      <c r="P18" s="11">
        <f>(1-B18)*Branch_Master_Data!D18/10000+(1-C18)*Branch_Master_Data!E18/1000</f>
        <v/>
      </c>
      <c r="Q18" s="11">
        <f>MAX(0,(0.192-B18)*50)+MAX(0,(0.169-C18)*30)+MAX(0,(0.039-D18)*20)</f>
        <v/>
      </c>
      <c r="R18" s="11">
        <f>P18*Q18</f>
        <v/>
      </c>
    </row>
    <row r="19">
      <c r="A19" s="12">
        <f>Branch_Master_Data!B19</f>
        <v/>
      </c>
      <c r="B19" s="13">
        <f>Branch_Master_Data!F19/Branch_Master_Data!D19</f>
        <v/>
      </c>
      <c r="C19" s="13">
        <f>IF(Branch_Master_Data!E19&gt;0,Branch_Master_Data!H19/Branch_Master_Data!E19,0)</f>
        <v/>
      </c>
      <c r="D19" s="13">
        <f>IF(Branch_Master_Data!G19&gt;0,(Branch_Master_Data!F19-Branch_Master_Data!G19)/Branch_Master_Data!G19,0)</f>
        <v/>
      </c>
      <c r="E19" s="13">
        <f>IF(Branch_Master_Data!I19&gt;0,(Branch_Master_Data!H19-Branch_Master_Data!I19)/Branch_Master_Data!I19,0)</f>
        <v/>
      </c>
      <c r="F19" s="13">
        <f>IF(Branch_Master_Data!F19&gt;0,Branch_Master_Data!J19/Branch_Master_Data!F19,0)</f>
        <v/>
      </c>
      <c r="G19" s="13">
        <f>IF(Branch_Master_Data!F19&gt;0,Branch_Master_Data!K19/Branch_Master_Data!F19,0)</f>
        <v/>
      </c>
      <c r="H19" s="13">
        <f>IF(Branch_Master_Data!F19&gt;0,Branch_Master_Data!L19/Branch_Master_Data!F19,0)</f>
        <v/>
      </c>
      <c r="I19" s="13">
        <f>IF(Branch_Master_Data!F19&gt;0,Branch_Master_Data!M19/Branch_Master_Data!F19,0)</f>
        <v/>
      </c>
      <c r="J19" s="13">
        <f>IF(Branch_Master_Data!F19&gt;0,(Branch_Master_Data!J19+Branch_Master_Data!K19)/Branch_Master_Data!F19,0)</f>
        <v/>
      </c>
      <c r="K19" s="14">
        <f>IF(Branch_Master_Data!F19&gt;0,(Branch_Master_Data!P19+Branch_Master_Data!N19+Branch_Master_Data!O19+Branch_Master_Data!J19+Branch_Master_Data!K19+Branch_Master_Data!L19+Branch_Master_Data!M19)/Branch_Master_Data!F19,0)</f>
        <v/>
      </c>
      <c r="L19" s="15">
        <f>IF(Branch_Master_Data!E19&gt;0,Branch_Master_Data!Q19/Branch_Master_Data!E19*1000,0)</f>
        <v/>
      </c>
      <c r="M19" s="13">
        <f>IF(Branch_Master_Data!F19&gt;0,Branch_Master_Data!T19/Branch_Master_Data!F19,0)</f>
        <v/>
      </c>
      <c r="N19" s="13">
        <f>IF(Branch_Master_Data!F19&gt;0,Branch_Master_Data!U19/Branch_Master_Data!F19,0)</f>
        <v/>
      </c>
      <c r="O19" s="13">
        <f>IF(Branch_Master_Data!E19&gt;0,Branch_Master_Data!V19/Branch_Master_Data!E19,0)</f>
        <v/>
      </c>
      <c r="P19" s="15">
        <f>(1-B19)*Branch_Master_Data!D19/10000+(1-C19)*Branch_Master_Data!E19/1000</f>
        <v/>
      </c>
      <c r="Q19" s="15">
        <f>MAX(0,(0.192-B19)*50)+MAX(0,(0.169-C19)*30)+MAX(0,(0.039-D19)*20)</f>
        <v/>
      </c>
      <c r="R19" s="15">
        <f>P19*Q19</f>
        <v/>
      </c>
    </row>
    <row r="20">
      <c r="A20" s="8">
        <f>Branch_Master_Data!B20</f>
        <v/>
      </c>
      <c r="B20" s="9">
        <f>Branch_Master_Data!F20/Branch_Master_Data!D20</f>
        <v/>
      </c>
      <c r="C20" s="9">
        <f>IF(Branch_Master_Data!E20&gt;0,Branch_Master_Data!H20/Branch_Master_Data!E20,0)</f>
        <v/>
      </c>
      <c r="D20" s="9">
        <f>IF(Branch_Master_Data!G20&gt;0,(Branch_Master_Data!F20-Branch_Master_Data!G20)/Branch_Master_Data!G20,0)</f>
        <v/>
      </c>
      <c r="E20" s="9">
        <f>IF(Branch_Master_Data!I20&gt;0,(Branch_Master_Data!H20-Branch_Master_Data!I20)/Branch_Master_Data!I20,0)</f>
        <v/>
      </c>
      <c r="F20" s="9">
        <f>IF(Branch_Master_Data!F20&gt;0,Branch_Master_Data!J20/Branch_Master_Data!F20,0)</f>
        <v/>
      </c>
      <c r="G20" s="9">
        <f>IF(Branch_Master_Data!F20&gt;0,Branch_Master_Data!K20/Branch_Master_Data!F20,0)</f>
        <v/>
      </c>
      <c r="H20" s="9">
        <f>IF(Branch_Master_Data!F20&gt;0,Branch_Master_Data!L20/Branch_Master_Data!F20,0)</f>
        <v/>
      </c>
      <c r="I20" s="9">
        <f>IF(Branch_Master_Data!F20&gt;0,Branch_Master_Data!M20/Branch_Master_Data!F20,0)</f>
        <v/>
      </c>
      <c r="J20" s="9">
        <f>IF(Branch_Master_Data!F20&gt;0,(Branch_Master_Data!J20+Branch_Master_Data!K20)/Branch_Master_Data!F20,0)</f>
        <v/>
      </c>
      <c r="K20" s="10">
        <f>IF(Branch_Master_Data!F20&gt;0,(Branch_Master_Data!P20+Branch_Master_Data!N20+Branch_Master_Data!O20+Branch_Master_Data!J20+Branch_Master_Data!K20+Branch_Master_Data!L20+Branch_Master_Data!M20)/Branch_Master_Data!F20,0)</f>
        <v/>
      </c>
      <c r="L20" s="11">
        <f>IF(Branch_Master_Data!E20&gt;0,Branch_Master_Data!Q20/Branch_Master_Data!E20*1000,0)</f>
        <v/>
      </c>
      <c r="M20" s="9">
        <f>IF(Branch_Master_Data!F20&gt;0,Branch_Master_Data!T20/Branch_Master_Data!F20,0)</f>
        <v/>
      </c>
      <c r="N20" s="9">
        <f>IF(Branch_Master_Data!F20&gt;0,Branch_Master_Data!U20/Branch_Master_Data!F20,0)</f>
        <v/>
      </c>
      <c r="O20" s="9">
        <f>IF(Branch_Master_Data!E20&gt;0,Branch_Master_Data!V20/Branch_Master_Data!E20,0)</f>
        <v/>
      </c>
      <c r="P20" s="11">
        <f>(1-B20)*Branch_Master_Data!D20/10000+(1-C20)*Branch_Master_Data!E20/1000</f>
        <v/>
      </c>
      <c r="Q20" s="11">
        <f>MAX(0,(0.192-B20)*50)+MAX(0,(0.169-C20)*30)+MAX(0,(0.039-D20)*20)</f>
        <v/>
      </c>
      <c r="R20" s="11">
        <f>P20*Q20</f>
        <v/>
      </c>
    </row>
    <row r="21">
      <c r="A21" s="12">
        <f>Branch_Master_Data!B21</f>
        <v/>
      </c>
      <c r="B21" s="13">
        <f>Branch_Master_Data!F21/Branch_Master_Data!D21</f>
        <v/>
      </c>
      <c r="C21" s="13">
        <f>IF(Branch_Master_Data!E21&gt;0,Branch_Master_Data!H21/Branch_Master_Data!E21,0)</f>
        <v/>
      </c>
      <c r="D21" s="13">
        <f>IF(Branch_Master_Data!G21&gt;0,(Branch_Master_Data!F21-Branch_Master_Data!G21)/Branch_Master_Data!G21,0)</f>
        <v/>
      </c>
      <c r="E21" s="13">
        <f>IF(Branch_Master_Data!I21&gt;0,(Branch_Master_Data!H21-Branch_Master_Data!I21)/Branch_Master_Data!I21,0)</f>
        <v/>
      </c>
      <c r="F21" s="13">
        <f>IF(Branch_Master_Data!F21&gt;0,Branch_Master_Data!J21/Branch_Master_Data!F21,0)</f>
        <v/>
      </c>
      <c r="G21" s="13">
        <f>IF(Branch_Master_Data!F21&gt;0,Branch_Master_Data!K21/Branch_Master_Data!F21,0)</f>
        <v/>
      </c>
      <c r="H21" s="13">
        <f>IF(Branch_Master_Data!F21&gt;0,Branch_Master_Data!L21/Branch_Master_Data!F21,0)</f>
        <v/>
      </c>
      <c r="I21" s="13">
        <f>IF(Branch_Master_Data!F21&gt;0,Branch_Master_Data!M21/Branch_Master_Data!F21,0)</f>
        <v/>
      </c>
      <c r="J21" s="13">
        <f>IF(Branch_Master_Data!F21&gt;0,(Branch_Master_Data!J21+Branch_Master_Data!K21)/Branch_Master_Data!F21,0)</f>
        <v/>
      </c>
      <c r="K21" s="14">
        <f>IF(Branch_Master_Data!F21&gt;0,(Branch_Master_Data!P21+Branch_Master_Data!N21+Branch_Master_Data!O21+Branch_Master_Data!J21+Branch_Master_Data!K21+Branch_Master_Data!L21+Branch_Master_Data!M21)/Branch_Master_Data!F21,0)</f>
        <v/>
      </c>
      <c r="L21" s="15">
        <f>IF(Branch_Master_Data!E21&gt;0,Branch_Master_Data!Q21/Branch_Master_Data!E21*1000,0)</f>
        <v/>
      </c>
      <c r="M21" s="13">
        <f>IF(Branch_Master_Data!F21&gt;0,Branch_Master_Data!T21/Branch_Master_Data!F21,0)</f>
        <v/>
      </c>
      <c r="N21" s="13">
        <f>IF(Branch_Master_Data!F21&gt;0,Branch_Master_Data!U21/Branch_Master_Data!F21,0)</f>
        <v/>
      </c>
      <c r="O21" s="13">
        <f>IF(Branch_Master_Data!E21&gt;0,Branch_Master_Data!V21/Branch_Master_Data!E21,0)</f>
        <v/>
      </c>
      <c r="P21" s="15">
        <f>(1-B21)*Branch_Master_Data!D21/10000+(1-C21)*Branch_Master_Data!E21/1000</f>
        <v/>
      </c>
      <c r="Q21" s="15">
        <f>MAX(0,(0.192-B21)*50)+MAX(0,(0.169-C21)*30)+MAX(0,(0.039-D21)*20)</f>
        <v/>
      </c>
      <c r="R21" s="15">
        <f>P21*Q21</f>
        <v/>
      </c>
    </row>
    <row r="22">
      <c r="A22" s="8">
        <f>Branch_Master_Data!B22</f>
        <v/>
      </c>
      <c r="B22" s="9">
        <f>Branch_Master_Data!F22/Branch_Master_Data!D22</f>
        <v/>
      </c>
      <c r="C22" s="9">
        <f>IF(Branch_Master_Data!E22&gt;0,Branch_Master_Data!H22/Branch_Master_Data!E22,0)</f>
        <v/>
      </c>
      <c r="D22" s="9">
        <f>IF(Branch_Master_Data!G22&gt;0,(Branch_Master_Data!F22-Branch_Master_Data!G22)/Branch_Master_Data!G22,0)</f>
        <v/>
      </c>
      <c r="E22" s="9">
        <f>IF(Branch_Master_Data!I22&gt;0,(Branch_Master_Data!H22-Branch_Master_Data!I22)/Branch_Master_Data!I22,0)</f>
        <v/>
      </c>
      <c r="F22" s="9">
        <f>IF(Branch_Master_Data!F22&gt;0,Branch_Master_Data!J22/Branch_Master_Data!F22,0)</f>
        <v/>
      </c>
      <c r="G22" s="9">
        <f>IF(Branch_Master_Data!F22&gt;0,Branch_Master_Data!K22/Branch_Master_Data!F22,0)</f>
        <v/>
      </c>
      <c r="H22" s="9">
        <f>IF(Branch_Master_Data!F22&gt;0,Branch_Master_Data!L22/Branch_Master_Data!F22,0)</f>
        <v/>
      </c>
      <c r="I22" s="9">
        <f>IF(Branch_Master_Data!F22&gt;0,Branch_Master_Data!M22/Branch_Master_Data!F22,0)</f>
        <v/>
      </c>
      <c r="J22" s="9">
        <f>IF(Branch_Master_Data!F22&gt;0,(Branch_Master_Data!J22+Branch_Master_Data!K22)/Branch_Master_Data!F22,0)</f>
        <v/>
      </c>
      <c r="K22" s="10">
        <f>IF(Branch_Master_Data!F22&gt;0,(Branch_Master_Data!P22+Branch_Master_Data!N22+Branch_Master_Data!O22+Branch_Master_Data!J22+Branch_Master_Data!K22+Branch_Master_Data!L22+Branch_Master_Data!M22)/Branch_Master_Data!F22,0)</f>
        <v/>
      </c>
      <c r="L22" s="11">
        <f>IF(Branch_Master_Data!E22&gt;0,Branch_Master_Data!Q22/Branch_Master_Data!E22*1000,0)</f>
        <v/>
      </c>
      <c r="M22" s="9">
        <f>IF(Branch_Master_Data!F22&gt;0,Branch_Master_Data!T22/Branch_Master_Data!F22,0)</f>
        <v/>
      </c>
      <c r="N22" s="9">
        <f>IF(Branch_Master_Data!F22&gt;0,Branch_Master_Data!U22/Branch_Master_Data!F22,0)</f>
        <v/>
      </c>
      <c r="O22" s="9">
        <f>IF(Branch_Master_Data!E22&gt;0,Branch_Master_Data!V22/Branch_Master_Data!E22,0)</f>
        <v/>
      </c>
      <c r="P22" s="11">
        <f>(1-B22)*Branch_Master_Data!D22/10000+(1-C22)*Branch_Master_Data!E22/1000</f>
        <v/>
      </c>
      <c r="Q22" s="11">
        <f>MAX(0,(0.192-B22)*50)+MAX(0,(0.169-C22)*30)+MAX(0,(0.039-D22)*20)</f>
        <v/>
      </c>
      <c r="R22" s="11">
        <f>P22*Q22</f>
        <v/>
      </c>
    </row>
    <row r="23">
      <c r="A23" s="12">
        <f>Branch_Master_Data!B23</f>
        <v/>
      </c>
      <c r="B23" s="13">
        <f>Branch_Master_Data!F23/Branch_Master_Data!D23</f>
        <v/>
      </c>
      <c r="C23" s="13">
        <f>IF(Branch_Master_Data!E23&gt;0,Branch_Master_Data!H23/Branch_Master_Data!E23,0)</f>
        <v/>
      </c>
      <c r="D23" s="13">
        <f>IF(Branch_Master_Data!G23&gt;0,(Branch_Master_Data!F23-Branch_Master_Data!G23)/Branch_Master_Data!G23,0)</f>
        <v/>
      </c>
      <c r="E23" s="13">
        <f>IF(Branch_Master_Data!I23&gt;0,(Branch_Master_Data!H23-Branch_Master_Data!I23)/Branch_Master_Data!I23,0)</f>
        <v/>
      </c>
      <c r="F23" s="13">
        <f>IF(Branch_Master_Data!F23&gt;0,Branch_Master_Data!J23/Branch_Master_Data!F23,0)</f>
        <v/>
      </c>
      <c r="G23" s="13">
        <f>IF(Branch_Master_Data!F23&gt;0,Branch_Master_Data!K23/Branch_Master_Data!F23,0)</f>
        <v/>
      </c>
      <c r="H23" s="13">
        <f>IF(Branch_Master_Data!F23&gt;0,Branch_Master_Data!L23/Branch_Master_Data!F23,0)</f>
        <v/>
      </c>
      <c r="I23" s="13">
        <f>IF(Branch_Master_Data!F23&gt;0,Branch_Master_Data!M23/Branch_Master_Data!F23,0)</f>
        <v/>
      </c>
      <c r="J23" s="13">
        <f>IF(Branch_Master_Data!F23&gt;0,(Branch_Master_Data!J23+Branch_Master_Data!K23)/Branch_Master_Data!F23,0)</f>
        <v/>
      </c>
      <c r="K23" s="14">
        <f>IF(Branch_Master_Data!F23&gt;0,(Branch_Master_Data!P23+Branch_Master_Data!N23+Branch_Master_Data!O23+Branch_Master_Data!J23+Branch_Master_Data!K23+Branch_Master_Data!L23+Branch_Master_Data!M23)/Branch_Master_Data!F23,0)</f>
        <v/>
      </c>
      <c r="L23" s="15">
        <f>IF(Branch_Master_Data!E23&gt;0,Branch_Master_Data!Q23/Branch_Master_Data!E23*1000,0)</f>
        <v/>
      </c>
      <c r="M23" s="13">
        <f>IF(Branch_Master_Data!F23&gt;0,Branch_Master_Data!T23/Branch_Master_Data!F23,0)</f>
        <v/>
      </c>
      <c r="N23" s="13">
        <f>IF(Branch_Master_Data!F23&gt;0,Branch_Master_Data!U23/Branch_Master_Data!F23,0)</f>
        <v/>
      </c>
      <c r="O23" s="13">
        <f>IF(Branch_Master_Data!E23&gt;0,Branch_Master_Data!V23/Branch_Master_Data!E23,0)</f>
        <v/>
      </c>
      <c r="P23" s="15">
        <f>(1-B23)*Branch_Master_Data!D23/10000+(1-C23)*Branch_Master_Data!E23/1000</f>
        <v/>
      </c>
      <c r="Q23" s="15">
        <f>MAX(0,(0.192-B23)*50)+MAX(0,(0.169-C23)*30)+MAX(0,(0.039-D23)*20)</f>
        <v/>
      </c>
      <c r="R23" s="15">
        <f>P23*Q23</f>
        <v/>
      </c>
    </row>
    <row r="24">
      <c r="A24" s="8">
        <f>Branch_Master_Data!B24</f>
        <v/>
      </c>
      <c r="B24" s="9">
        <f>Branch_Master_Data!F24/Branch_Master_Data!D24</f>
        <v/>
      </c>
      <c r="C24" s="9">
        <f>IF(Branch_Master_Data!E24&gt;0,Branch_Master_Data!H24/Branch_Master_Data!E24,0)</f>
        <v/>
      </c>
      <c r="D24" s="9">
        <f>IF(Branch_Master_Data!G24&gt;0,(Branch_Master_Data!F24-Branch_Master_Data!G24)/Branch_Master_Data!G24,0)</f>
        <v/>
      </c>
      <c r="E24" s="9">
        <f>IF(Branch_Master_Data!I24&gt;0,(Branch_Master_Data!H24-Branch_Master_Data!I24)/Branch_Master_Data!I24,0)</f>
        <v/>
      </c>
      <c r="F24" s="9">
        <f>IF(Branch_Master_Data!F24&gt;0,Branch_Master_Data!J24/Branch_Master_Data!F24,0)</f>
        <v/>
      </c>
      <c r="G24" s="9">
        <f>IF(Branch_Master_Data!F24&gt;0,Branch_Master_Data!K24/Branch_Master_Data!F24,0)</f>
        <v/>
      </c>
      <c r="H24" s="9">
        <f>IF(Branch_Master_Data!F24&gt;0,Branch_Master_Data!L24/Branch_Master_Data!F24,0)</f>
        <v/>
      </c>
      <c r="I24" s="9">
        <f>IF(Branch_Master_Data!F24&gt;0,Branch_Master_Data!M24/Branch_Master_Data!F24,0)</f>
        <v/>
      </c>
      <c r="J24" s="9">
        <f>IF(Branch_Master_Data!F24&gt;0,(Branch_Master_Data!J24+Branch_Master_Data!K24)/Branch_Master_Data!F24,0)</f>
        <v/>
      </c>
      <c r="K24" s="10">
        <f>IF(Branch_Master_Data!F24&gt;0,(Branch_Master_Data!P24+Branch_Master_Data!N24+Branch_Master_Data!O24+Branch_Master_Data!J24+Branch_Master_Data!K24+Branch_Master_Data!L24+Branch_Master_Data!M24)/Branch_Master_Data!F24,0)</f>
        <v/>
      </c>
      <c r="L24" s="11">
        <f>IF(Branch_Master_Data!E24&gt;0,Branch_Master_Data!Q24/Branch_Master_Data!E24*1000,0)</f>
        <v/>
      </c>
      <c r="M24" s="9">
        <f>IF(Branch_Master_Data!F24&gt;0,Branch_Master_Data!T24/Branch_Master_Data!F24,0)</f>
        <v/>
      </c>
      <c r="N24" s="9">
        <f>IF(Branch_Master_Data!F24&gt;0,Branch_Master_Data!U24/Branch_Master_Data!F24,0)</f>
        <v/>
      </c>
      <c r="O24" s="9">
        <f>IF(Branch_Master_Data!E24&gt;0,Branch_Master_Data!V24/Branch_Master_Data!E24,0)</f>
        <v/>
      </c>
      <c r="P24" s="11">
        <f>(1-B24)*Branch_Master_Data!D24/10000+(1-C24)*Branch_Master_Data!E24/1000</f>
        <v/>
      </c>
      <c r="Q24" s="11">
        <f>MAX(0,(0.192-B24)*50)+MAX(0,(0.169-C24)*30)+MAX(0,(0.039-D24)*20)</f>
        <v/>
      </c>
      <c r="R24" s="11">
        <f>P24*Q24</f>
        <v/>
      </c>
    </row>
    <row r="25">
      <c r="A25" s="12">
        <f>Branch_Master_Data!B25</f>
        <v/>
      </c>
      <c r="B25" s="13">
        <f>Branch_Master_Data!F25/Branch_Master_Data!D25</f>
        <v/>
      </c>
      <c r="C25" s="13">
        <f>IF(Branch_Master_Data!E25&gt;0,Branch_Master_Data!H25/Branch_Master_Data!E25,0)</f>
        <v/>
      </c>
      <c r="D25" s="13">
        <f>IF(Branch_Master_Data!G25&gt;0,(Branch_Master_Data!F25-Branch_Master_Data!G25)/Branch_Master_Data!G25,0)</f>
        <v/>
      </c>
      <c r="E25" s="13">
        <f>IF(Branch_Master_Data!I25&gt;0,(Branch_Master_Data!H25-Branch_Master_Data!I25)/Branch_Master_Data!I25,0)</f>
        <v/>
      </c>
      <c r="F25" s="13">
        <f>IF(Branch_Master_Data!F25&gt;0,Branch_Master_Data!J25/Branch_Master_Data!F25,0)</f>
        <v/>
      </c>
      <c r="G25" s="13">
        <f>IF(Branch_Master_Data!F25&gt;0,Branch_Master_Data!K25/Branch_Master_Data!F25,0)</f>
        <v/>
      </c>
      <c r="H25" s="13">
        <f>IF(Branch_Master_Data!F25&gt;0,Branch_Master_Data!L25/Branch_Master_Data!F25,0)</f>
        <v/>
      </c>
      <c r="I25" s="13">
        <f>IF(Branch_Master_Data!F25&gt;0,Branch_Master_Data!M25/Branch_Master_Data!F25,0)</f>
        <v/>
      </c>
      <c r="J25" s="13">
        <f>IF(Branch_Master_Data!F25&gt;0,(Branch_Master_Data!J25+Branch_Master_Data!K25)/Branch_Master_Data!F25,0)</f>
        <v/>
      </c>
      <c r="K25" s="14">
        <f>IF(Branch_Master_Data!F25&gt;0,(Branch_Master_Data!P25+Branch_Master_Data!N25+Branch_Master_Data!O25+Branch_Master_Data!J25+Branch_Master_Data!K25+Branch_Master_Data!L25+Branch_Master_Data!M25)/Branch_Master_Data!F25,0)</f>
        <v/>
      </c>
      <c r="L25" s="15">
        <f>IF(Branch_Master_Data!E25&gt;0,Branch_Master_Data!Q25/Branch_Master_Data!E25*1000,0)</f>
        <v/>
      </c>
      <c r="M25" s="13">
        <f>IF(Branch_Master_Data!F25&gt;0,Branch_Master_Data!T25/Branch_Master_Data!F25,0)</f>
        <v/>
      </c>
      <c r="N25" s="13">
        <f>IF(Branch_Master_Data!F25&gt;0,Branch_Master_Data!U25/Branch_Master_Data!F25,0)</f>
        <v/>
      </c>
      <c r="O25" s="13">
        <f>IF(Branch_Master_Data!E25&gt;0,Branch_Master_Data!V25/Branch_Master_Data!E25,0)</f>
        <v/>
      </c>
      <c r="P25" s="15">
        <f>(1-B25)*Branch_Master_Data!D25/10000+(1-C25)*Branch_Master_Data!E25/1000</f>
        <v/>
      </c>
      <c r="Q25" s="15">
        <f>MAX(0,(0.192-B25)*50)+MAX(0,(0.169-C25)*30)+MAX(0,(0.039-D25)*20)</f>
        <v/>
      </c>
      <c r="R25" s="15">
        <f>P25*Q25</f>
        <v/>
      </c>
    </row>
    <row r="26">
      <c r="A26" s="8">
        <f>Branch_Master_Data!B26</f>
        <v/>
      </c>
      <c r="B26" s="9">
        <f>Branch_Master_Data!F26/Branch_Master_Data!D26</f>
        <v/>
      </c>
      <c r="C26" s="9">
        <f>IF(Branch_Master_Data!E26&gt;0,Branch_Master_Data!H26/Branch_Master_Data!E26,0)</f>
        <v/>
      </c>
      <c r="D26" s="9">
        <f>IF(Branch_Master_Data!G26&gt;0,(Branch_Master_Data!F26-Branch_Master_Data!G26)/Branch_Master_Data!G26,0)</f>
        <v/>
      </c>
      <c r="E26" s="9">
        <f>IF(Branch_Master_Data!I26&gt;0,(Branch_Master_Data!H26-Branch_Master_Data!I26)/Branch_Master_Data!I26,0)</f>
        <v/>
      </c>
      <c r="F26" s="9">
        <f>IF(Branch_Master_Data!F26&gt;0,Branch_Master_Data!J26/Branch_Master_Data!F26,0)</f>
        <v/>
      </c>
      <c r="G26" s="9">
        <f>IF(Branch_Master_Data!F26&gt;0,Branch_Master_Data!K26/Branch_Master_Data!F26,0)</f>
        <v/>
      </c>
      <c r="H26" s="9">
        <f>IF(Branch_Master_Data!F26&gt;0,Branch_Master_Data!L26/Branch_Master_Data!F26,0)</f>
        <v/>
      </c>
      <c r="I26" s="9">
        <f>IF(Branch_Master_Data!F26&gt;0,Branch_Master_Data!M26/Branch_Master_Data!F26,0)</f>
        <v/>
      </c>
      <c r="J26" s="9">
        <f>IF(Branch_Master_Data!F26&gt;0,(Branch_Master_Data!J26+Branch_Master_Data!K26)/Branch_Master_Data!F26,0)</f>
        <v/>
      </c>
      <c r="K26" s="10">
        <f>IF(Branch_Master_Data!F26&gt;0,(Branch_Master_Data!P26+Branch_Master_Data!N26+Branch_Master_Data!O26+Branch_Master_Data!J26+Branch_Master_Data!K26+Branch_Master_Data!L26+Branch_Master_Data!M26)/Branch_Master_Data!F26,0)</f>
        <v/>
      </c>
      <c r="L26" s="11">
        <f>IF(Branch_Master_Data!E26&gt;0,Branch_Master_Data!Q26/Branch_Master_Data!E26*1000,0)</f>
        <v/>
      </c>
      <c r="M26" s="9">
        <f>IF(Branch_Master_Data!F26&gt;0,Branch_Master_Data!T26/Branch_Master_Data!F26,0)</f>
        <v/>
      </c>
      <c r="N26" s="9">
        <f>IF(Branch_Master_Data!F26&gt;0,Branch_Master_Data!U26/Branch_Master_Data!F26,0)</f>
        <v/>
      </c>
      <c r="O26" s="9">
        <f>IF(Branch_Master_Data!E26&gt;0,Branch_Master_Data!V26/Branch_Master_Data!E26,0)</f>
        <v/>
      </c>
      <c r="P26" s="11">
        <f>(1-B26)*Branch_Master_Data!D26/10000+(1-C26)*Branch_Master_Data!E26/1000</f>
        <v/>
      </c>
      <c r="Q26" s="11">
        <f>MAX(0,(0.192-B26)*50)+MAX(0,(0.169-C26)*30)+MAX(0,(0.039-D26)*20)</f>
        <v/>
      </c>
      <c r="R26" s="11">
        <f>P26*Q26</f>
        <v/>
      </c>
    </row>
    <row r="27">
      <c r="A27" s="12">
        <f>Branch_Master_Data!B27</f>
        <v/>
      </c>
      <c r="B27" s="13">
        <f>Branch_Master_Data!F27/Branch_Master_Data!D27</f>
        <v/>
      </c>
      <c r="C27" s="13">
        <f>IF(Branch_Master_Data!E27&gt;0,Branch_Master_Data!H27/Branch_Master_Data!E27,0)</f>
        <v/>
      </c>
      <c r="D27" s="13">
        <f>IF(Branch_Master_Data!G27&gt;0,(Branch_Master_Data!F27-Branch_Master_Data!G27)/Branch_Master_Data!G27,0)</f>
        <v/>
      </c>
      <c r="E27" s="13">
        <f>IF(Branch_Master_Data!I27&gt;0,(Branch_Master_Data!H27-Branch_Master_Data!I27)/Branch_Master_Data!I27,0)</f>
        <v/>
      </c>
      <c r="F27" s="13">
        <f>IF(Branch_Master_Data!F27&gt;0,Branch_Master_Data!J27/Branch_Master_Data!F27,0)</f>
        <v/>
      </c>
      <c r="G27" s="13">
        <f>IF(Branch_Master_Data!F27&gt;0,Branch_Master_Data!K27/Branch_Master_Data!F27,0)</f>
        <v/>
      </c>
      <c r="H27" s="13">
        <f>IF(Branch_Master_Data!F27&gt;0,Branch_Master_Data!L27/Branch_Master_Data!F27,0)</f>
        <v/>
      </c>
      <c r="I27" s="13">
        <f>IF(Branch_Master_Data!F27&gt;0,Branch_Master_Data!M27/Branch_Master_Data!F27,0)</f>
        <v/>
      </c>
      <c r="J27" s="13">
        <f>IF(Branch_Master_Data!F27&gt;0,(Branch_Master_Data!J27+Branch_Master_Data!K27)/Branch_Master_Data!F27,0)</f>
        <v/>
      </c>
      <c r="K27" s="14">
        <f>IF(Branch_Master_Data!F27&gt;0,(Branch_Master_Data!P27+Branch_Master_Data!N27+Branch_Master_Data!O27+Branch_Master_Data!J27+Branch_Master_Data!K27+Branch_Master_Data!L27+Branch_Master_Data!M27)/Branch_Master_Data!F27,0)</f>
        <v/>
      </c>
      <c r="L27" s="15">
        <f>IF(Branch_Master_Data!E27&gt;0,Branch_Master_Data!Q27/Branch_Master_Data!E27*1000,0)</f>
        <v/>
      </c>
      <c r="M27" s="13">
        <f>IF(Branch_Master_Data!F27&gt;0,Branch_Master_Data!T27/Branch_Master_Data!F27,0)</f>
        <v/>
      </c>
      <c r="N27" s="13">
        <f>IF(Branch_Master_Data!F27&gt;0,Branch_Master_Data!U27/Branch_Master_Data!F27,0)</f>
        <v/>
      </c>
      <c r="O27" s="13">
        <f>IF(Branch_Master_Data!E27&gt;0,Branch_Master_Data!V27/Branch_Master_Data!E27,0)</f>
        <v/>
      </c>
      <c r="P27" s="15">
        <f>(1-B27)*Branch_Master_Data!D27/10000+(1-C27)*Branch_Master_Data!E27/1000</f>
        <v/>
      </c>
      <c r="Q27" s="15">
        <f>MAX(0,(0.192-B27)*50)+MAX(0,(0.169-C27)*30)+MAX(0,(0.039-D27)*20)</f>
        <v/>
      </c>
      <c r="R27" s="15">
        <f>P27*Q27</f>
        <v/>
      </c>
    </row>
    <row r="28">
      <c r="A28" s="8">
        <f>Branch_Master_Data!B28</f>
        <v/>
      </c>
      <c r="B28" s="9">
        <f>Branch_Master_Data!F28/Branch_Master_Data!D28</f>
        <v/>
      </c>
      <c r="C28" s="9">
        <f>IF(Branch_Master_Data!E28&gt;0,Branch_Master_Data!H28/Branch_Master_Data!E28,0)</f>
        <v/>
      </c>
      <c r="D28" s="9">
        <f>IF(Branch_Master_Data!G28&gt;0,(Branch_Master_Data!F28-Branch_Master_Data!G28)/Branch_Master_Data!G28,0)</f>
        <v/>
      </c>
      <c r="E28" s="9">
        <f>IF(Branch_Master_Data!I28&gt;0,(Branch_Master_Data!H28-Branch_Master_Data!I28)/Branch_Master_Data!I28,0)</f>
        <v/>
      </c>
      <c r="F28" s="9">
        <f>IF(Branch_Master_Data!F28&gt;0,Branch_Master_Data!J28/Branch_Master_Data!F28,0)</f>
        <v/>
      </c>
      <c r="G28" s="9">
        <f>IF(Branch_Master_Data!F28&gt;0,Branch_Master_Data!K28/Branch_Master_Data!F28,0)</f>
        <v/>
      </c>
      <c r="H28" s="9">
        <f>IF(Branch_Master_Data!F28&gt;0,Branch_Master_Data!L28/Branch_Master_Data!F28,0)</f>
        <v/>
      </c>
      <c r="I28" s="9">
        <f>IF(Branch_Master_Data!F28&gt;0,Branch_Master_Data!M28/Branch_Master_Data!F28,0)</f>
        <v/>
      </c>
      <c r="J28" s="9">
        <f>IF(Branch_Master_Data!F28&gt;0,(Branch_Master_Data!J28+Branch_Master_Data!K28)/Branch_Master_Data!F28,0)</f>
        <v/>
      </c>
      <c r="K28" s="10">
        <f>IF(Branch_Master_Data!F28&gt;0,(Branch_Master_Data!P28+Branch_Master_Data!N28+Branch_Master_Data!O28+Branch_Master_Data!J28+Branch_Master_Data!K28+Branch_Master_Data!L28+Branch_Master_Data!M28)/Branch_Master_Data!F28,0)</f>
        <v/>
      </c>
      <c r="L28" s="11">
        <f>IF(Branch_Master_Data!E28&gt;0,Branch_Master_Data!Q28/Branch_Master_Data!E28*1000,0)</f>
        <v/>
      </c>
      <c r="M28" s="9">
        <f>IF(Branch_Master_Data!F28&gt;0,Branch_Master_Data!T28/Branch_Master_Data!F28,0)</f>
        <v/>
      </c>
      <c r="N28" s="9">
        <f>IF(Branch_Master_Data!F28&gt;0,Branch_Master_Data!U28/Branch_Master_Data!F28,0)</f>
        <v/>
      </c>
      <c r="O28" s="9">
        <f>IF(Branch_Master_Data!E28&gt;0,Branch_Master_Data!V28/Branch_Master_Data!E28,0)</f>
        <v/>
      </c>
      <c r="P28" s="11">
        <f>(1-B28)*Branch_Master_Data!D28/10000+(1-C28)*Branch_Master_Data!E28/1000</f>
        <v/>
      </c>
      <c r="Q28" s="11">
        <f>MAX(0,(0.192-B28)*50)+MAX(0,(0.169-C28)*30)+MAX(0,(0.039-D28)*20)</f>
        <v/>
      </c>
      <c r="R28" s="11">
        <f>P28*Q28</f>
        <v/>
      </c>
    </row>
    <row r="29">
      <c r="A29" s="12">
        <f>Branch_Master_Data!B29</f>
        <v/>
      </c>
      <c r="B29" s="13">
        <f>Branch_Master_Data!F29/Branch_Master_Data!D29</f>
        <v/>
      </c>
      <c r="C29" s="13">
        <f>IF(Branch_Master_Data!E29&gt;0,Branch_Master_Data!H29/Branch_Master_Data!E29,0)</f>
        <v/>
      </c>
      <c r="D29" s="13">
        <f>IF(Branch_Master_Data!G29&gt;0,(Branch_Master_Data!F29-Branch_Master_Data!G29)/Branch_Master_Data!G29,0)</f>
        <v/>
      </c>
      <c r="E29" s="13">
        <f>IF(Branch_Master_Data!I29&gt;0,(Branch_Master_Data!H29-Branch_Master_Data!I29)/Branch_Master_Data!I29,0)</f>
        <v/>
      </c>
      <c r="F29" s="13">
        <f>IF(Branch_Master_Data!F29&gt;0,Branch_Master_Data!J29/Branch_Master_Data!F29,0)</f>
        <v/>
      </c>
      <c r="G29" s="13">
        <f>IF(Branch_Master_Data!F29&gt;0,Branch_Master_Data!K29/Branch_Master_Data!F29,0)</f>
        <v/>
      </c>
      <c r="H29" s="13">
        <f>IF(Branch_Master_Data!F29&gt;0,Branch_Master_Data!L29/Branch_Master_Data!F29,0)</f>
        <v/>
      </c>
      <c r="I29" s="13">
        <f>IF(Branch_Master_Data!F29&gt;0,Branch_Master_Data!M29/Branch_Master_Data!F29,0)</f>
        <v/>
      </c>
      <c r="J29" s="13">
        <f>IF(Branch_Master_Data!F29&gt;0,(Branch_Master_Data!J29+Branch_Master_Data!K29)/Branch_Master_Data!F29,0)</f>
        <v/>
      </c>
      <c r="K29" s="14">
        <f>IF(Branch_Master_Data!F29&gt;0,(Branch_Master_Data!P29+Branch_Master_Data!N29+Branch_Master_Data!O29+Branch_Master_Data!J29+Branch_Master_Data!K29+Branch_Master_Data!L29+Branch_Master_Data!M29)/Branch_Master_Data!F29,0)</f>
        <v/>
      </c>
      <c r="L29" s="15">
        <f>IF(Branch_Master_Data!E29&gt;0,Branch_Master_Data!Q29/Branch_Master_Data!E29*1000,0)</f>
        <v/>
      </c>
      <c r="M29" s="13">
        <f>IF(Branch_Master_Data!F29&gt;0,Branch_Master_Data!T29/Branch_Master_Data!F29,0)</f>
        <v/>
      </c>
      <c r="N29" s="13">
        <f>IF(Branch_Master_Data!F29&gt;0,Branch_Master_Data!U29/Branch_Master_Data!F29,0)</f>
        <v/>
      </c>
      <c r="O29" s="13">
        <f>IF(Branch_Master_Data!E29&gt;0,Branch_Master_Data!V29/Branch_Master_Data!E29,0)</f>
        <v/>
      </c>
      <c r="P29" s="15">
        <f>(1-B29)*Branch_Master_Data!D29/10000+(1-C29)*Branch_Master_Data!E29/1000</f>
        <v/>
      </c>
      <c r="Q29" s="15">
        <f>MAX(0,(0.192-B29)*50)+MAX(0,(0.169-C29)*30)+MAX(0,(0.039-D29)*20)</f>
        <v/>
      </c>
      <c r="R29" s="15">
        <f>P29*Q29</f>
        <v/>
      </c>
    </row>
    <row r="30">
      <c r="A30" s="8">
        <f>Branch_Master_Data!B30</f>
        <v/>
      </c>
      <c r="B30" s="9">
        <f>Branch_Master_Data!F30/Branch_Master_Data!D30</f>
        <v/>
      </c>
      <c r="C30" s="9">
        <f>IF(Branch_Master_Data!E30&gt;0,Branch_Master_Data!H30/Branch_Master_Data!E30,0)</f>
        <v/>
      </c>
      <c r="D30" s="9">
        <f>IF(Branch_Master_Data!G30&gt;0,(Branch_Master_Data!F30-Branch_Master_Data!G30)/Branch_Master_Data!G30,0)</f>
        <v/>
      </c>
      <c r="E30" s="9">
        <f>IF(Branch_Master_Data!I30&gt;0,(Branch_Master_Data!H30-Branch_Master_Data!I30)/Branch_Master_Data!I30,0)</f>
        <v/>
      </c>
      <c r="F30" s="9">
        <f>IF(Branch_Master_Data!F30&gt;0,Branch_Master_Data!J30/Branch_Master_Data!F30,0)</f>
        <v/>
      </c>
      <c r="G30" s="9">
        <f>IF(Branch_Master_Data!F30&gt;0,Branch_Master_Data!K30/Branch_Master_Data!F30,0)</f>
        <v/>
      </c>
      <c r="H30" s="9">
        <f>IF(Branch_Master_Data!F30&gt;0,Branch_Master_Data!L30/Branch_Master_Data!F30,0)</f>
        <v/>
      </c>
      <c r="I30" s="9">
        <f>IF(Branch_Master_Data!F30&gt;0,Branch_Master_Data!M30/Branch_Master_Data!F30,0)</f>
        <v/>
      </c>
      <c r="J30" s="9">
        <f>IF(Branch_Master_Data!F30&gt;0,(Branch_Master_Data!J30+Branch_Master_Data!K30)/Branch_Master_Data!F30,0)</f>
        <v/>
      </c>
      <c r="K30" s="10">
        <f>IF(Branch_Master_Data!F30&gt;0,(Branch_Master_Data!P30+Branch_Master_Data!N30+Branch_Master_Data!O30+Branch_Master_Data!J30+Branch_Master_Data!K30+Branch_Master_Data!L30+Branch_Master_Data!M30)/Branch_Master_Data!F30,0)</f>
        <v/>
      </c>
      <c r="L30" s="11">
        <f>IF(Branch_Master_Data!E30&gt;0,Branch_Master_Data!Q30/Branch_Master_Data!E30*1000,0)</f>
        <v/>
      </c>
      <c r="M30" s="9">
        <f>IF(Branch_Master_Data!F30&gt;0,Branch_Master_Data!T30/Branch_Master_Data!F30,0)</f>
        <v/>
      </c>
      <c r="N30" s="9">
        <f>IF(Branch_Master_Data!F30&gt;0,Branch_Master_Data!U30/Branch_Master_Data!F30,0)</f>
        <v/>
      </c>
      <c r="O30" s="9">
        <f>IF(Branch_Master_Data!E30&gt;0,Branch_Master_Data!V30/Branch_Master_Data!E30,0)</f>
        <v/>
      </c>
      <c r="P30" s="11">
        <f>(1-B30)*Branch_Master_Data!D30/10000+(1-C30)*Branch_Master_Data!E30/1000</f>
        <v/>
      </c>
      <c r="Q30" s="11">
        <f>MAX(0,(0.192-B30)*50)+MAX(0,(0.169-C30)*30)+MAX(0,(0.039-D30)*20)</f>
        <v/>
      </c>
      <c r="R30" s="11">
        <f>P30*Q30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Q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  <col width="10" customWidth="1" min="17" max="17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Segment</t>
        </is>
      </c>
      <c r="D1" s="1" t="inlineStr">
        <is>
          <t>PI Pen</t>
        </is>
      </c>
      <c r="E1" s="1" t="inlineStr">
        <is>
          <t>Status</t>
        </is>
      </c>
      <c r="F1" s="1" t="inlineStr">
        <is>
          <t>Biz Pen</t>
        </is>
      </c>
      <c r="G1" s="1" t="inlineStr">
        <is>
          <t>Status</t>
        </is>
      </c>
      <c r="H1" s="1" t="inlineStr">
        <is>
          <t>PI Growth</t>
        </is>
      </c>
      <c r="I1" s="1" t="inlineStr">
        <is>
          <t>Status</t>
        </is>
      </c>
      <c r="J1" s="1" t="inlineStr">
        <is>
          <t>M-Bank%</t>
        </is>
      </c>
      <c r="K1" s="1" t="inlineStr">
        <is>
          <t>Status</t>
        </is>
      </c>
      <c r="L1" s="1" t="inlineStr">
        <is>
          <t>Lending%</t>
        </is>
      </c>
      <c r="M1" s="1" t="inlineStr">
        <is>
          <t>Status</t>
        </is>
      </c>
      <c r="N1" s="1" t="inlineStr">
        <is>
          <t>POS/1kBiz</t>
        </is>
      </c>
      <c r="O1" s="1" t="inlineStr">
        <is>
          <t>Status</t>
        </is>
      </c>
      <c r="P1" s="1" t="inlineStr">
        <is>
          <t>Opp Score</t>
        </is>
      </c>
      <c r="Q1" s="1" t="inlineStr">
        <is>
          <t>Priority</t>
        </is>
      </c>
    </row>
    <row r="2">
      <c r="A2" s="16">
        <f>RANK(KPI_Calculations!B2,KPI_Calculations!B$2:KPI_Calculations!B$30,0)</f>
        <v/>
      </c>
      <c r="B2" s="17">
        <f>KPI_Calculations!A2</f>
        <v/>
      </c>
      <c r="C2" s="18" t="inlineStr">
        <is>
          <t>Dominant Hub</t>
        </is>
      </c>
      <c r="D2" s="9">
        <f>KPI_Calculations!B2</f>
        <v/>
      </c>
      <c r="E2" s="19">
        <f>IF(KPI_Calculations!B2&gt;0.25,"GREEN",IF(KPI_Calculations!B2&gt;0.15,"AMBER","RED"))</f>
        <v/>
      </c>
      <c r="F2" s="9">
        <f>KPI_Calculations!C2</f>
        <v/>
      </c>
      <c r="G2" s="19">
        <f>IF(KPI_Calculations!C2&gt;0.2,"GREEN",IF(KPI_Calculations!C2&gt;0.12,"AMBER","RED"))</f>
        <v/>
      </c>
      <c r="H2" s="9">
        <f>KPI_Calculations!D2</f>
        <v/>
      </c>
      <c r="I2" s="19">
        <f>IF(KPI_Calculations!D2&gt;0.05,"GREEN",IF(KPI_Calculations!D2&gt;0.02,"AMBER","RED"))</f>
        <v/>
      </c>
      <c r="J2" s="9">
        <f>KPI_Calculations!M2</f>
        <v/>
      </c>
      <c r="K2" s="19">
        <f>IF(KPI_Calculations!M2&gt;0.05,"GREEN",IF(KPI_Calculations!M2&gt;0.03,"AMBER","RED"))</f>
        <v/>
      </c>
      <c r="L2" s="9">
        <f>KPI_Calculations!J2</f>
        <v/>
      </c>
      <c r="M2" s="19">
        <f>IF(KPI_Calculations!J2&gt;0.15,"GREEN",IF(KPI_Calculations!J2&gt;0.1,"AMBER","RED"))</f>
        <v/>
      </c>
      <c r="N2" s="11">
        <f>KPI_Calculations!L2</f>
        <v/>
      </c>
      <c r="O2" s="19">
        <f>IF(KPI_Calculations!L2&gt;80,"GREEN",IF(KPI_Calculations!L2&gt;30,"AMBER","RED"))</f>
        <v/>
      </c>
      <c r="P2" s="11">
        <f>KPI_Calculations!P2</f>
        <v/>
      </c>
      <c r="Q2" s="11">
        <f>KPI_Calculations!R2</f>
        <v/>
      </c>
    </row>
    <row r="3">
      <c r="A3" s="20">
        <f>RANK(KPI_Calculations!B3,KPI_Calculations!B$2:KPI_Calculations!B$30,0)</f>
        <v/>
      </c>
      <c r="B3" s="21">
        <f>KPI_Calculations!A3</f>
        <v/>
      </c>
      <c r="C3" s="22" t="inlineStr">
        <is>
          <t>High Potential</t>
        </is>
      </c>
      <c r="D3" s="13">
        <f>KPI_Calculations!B3</f>
        <v/>
      </c>
      <c r="E3" s="23">
        <f>IF(KPI_Calculations!B3&gt;0.25,"GREEN",IF(KPI_Calculations!B3&gt;0.15,"AMBER","RED"))</f>
        <v/>
      </c>
      <c r="F3" s="13">
        <f>KPI_Calculations!C3</f>
        <v/>
      </c>
      <c r="G3" s="23">
        <f>IF(KPI_Calculations!C3&gt;0.2,"GREEN",IF(KPI_Calculations!C3&gt;0.12,"AMBER","RED"))</f>
        <v/>
      </c>
      <c r="H3" s="13">
        <f>KPI_Calculations!D3</f>
        <v/>
      </c>
      <c r="I3" s="23">
        <f>IF(KPI_Calculations!D3&gt;0.05,"GREEN",IF(KPI_Calculations!D3&gt;0.02,"AMBER","RED"))</f>
        <v/>
      </c>
      <c r="J3" s="13">
        <f>KPI_Calculations!M3</f>
        <v/>
      </c>
      <c r="K3" s="23">
        <f>IF(KPI_Calculations!M3&gt;0.05,"GREEN",IF(KPI_Calculations!M3&gt;0.03,"AMBER","RED"))</f>
        <v/>
      </c>
      <c r="L3" s="13">
        <f>KPI_Calculations!J3</f>
        <v/>
      </c>
      <c r="M3" s="23">
        <f>IF(KPI_Calculations!J3&gt;0.15,"GREEN",IF(KPI_Calculations!J3&gt;0.1,"AMBER","RED"))</f>
        <v/>
      </c>
      <c r="N3" s="15">
        <f>KPI_Calculations!L3</f>
        <v/>
      </c>
      <c r="O3" s="23">
        <f>IF(KPI_Calculations!L3&gt;80,"GREEN",IF(KPI_Calculations!L3&gt;30,"AMBER","RED"))</f>
        <v/>
      </c>
      <c r="P3" s="15">
        <f>KPI_Calculations!P3</f>
        <v/>
      </c>
      <c r="Q3" s="15">
        <f>KPI_Calculations!R3</f>
        <v/>
      </c>
    </row>
    <row r="4">
      <c r="A4" s="16">
        <f>RANK(KPI_Calculations!B4,KPI_Calculations!B$2:KPI_Calculations!B$30,0)</f>
        <v/>
      </c>
      <c r="B4" s="17">
        <f>KPI_Calculations!A4</f>
        <v/>
      </c>
      <c r="C4" s="24" t="inlineStr">
        <is>
          <t>Growth Engine</t>
        </is>
      </c>
      <c r="D4" s="9">
        <f>KPI_Calculations!B4</f>
        <v/>
      </c>
      <c r="E4" s="19">
        <f>IF(KPI_Calculations!B4&gt;0.25,"GREEN",IF(KPI_Calculations!B4&gt;0.15,"AMBER","RED"))</f>
        <v/>
      </c>
      <c r="F4" s="9">
        <f>KPI_Calculations!C4</f>
        <v/>
      </c>
      <c r="G4" s="19">
        <f>IF(KPI_Calculations!C4&gt;0.2,"GREEN",IF(KPI_Calculations!C4&gt;0.12,"AMBER","RED"))</f>
        <v/>
      </c>
      <c r="H4" s="9">
        <f>KPI_Calculations!D4</f>
        <v/>
      </c>
      <c r="I4" s="19">
        <f>IF(KPI_Calculations!D4&gt;0.05,"GREEN",IF(KPI_Calculations!D4&gt;0.02,"AMBER","RED"))</f>
        <v/>
      </c>
      <c r="J4" s="9">
        <f>KPI_Calculations!M4</f>
        <v/>
      </c>
      <c r="K4" s="19">
        <f>IF(KPI_Calculations!M4&gt;0.05,"GREEN",IF(KPI_Calculations!M4&gt;0.03,"AMBER","RED"))</f>
        <v/>
      </c>
      <c r="L4" s="9">
        <f>KPI_Calculations!J4</f>
        <v/>
      </c>
      <c r="M4" s="19">
        <f>IF(KPI_Calculations!J4&gt;0.15,"GREEN",IF(KPI_Calculations!J4&gt;0.1,"AMBER","RED"))</f>
        <v/>
      </c>
      <c r="N4" s="11">
        <f>KPI_Calculations!L4</f>
        <v/>
      </c>
      <c r="O4" s="19">
        <f>IF(KPI_Calculations!L4&gt;80,"GREEN",IF(KPI_Calculations!L4&gt;30,"AMBER","RED"))</f>
        <v/>
      </c>
      <c r="P4" s="11">
        <f>KPI_Calculations!P4</f>
        <v/>
      </c>
      <c r="Q4" s="11">
        <f>KPI_Calculations!R4</f>
        <v/>
      </c>
    </row>
    <row r="5">
      <c r="A5" s="20">
        <f>RANK(KPI_Calculations!B5,KPI_Calculations!B$2:KPI_Calculations!B$30,0)</f>
        <v/>
      </c>
      <c r="B5" s="21">
        <f>KPI_Calculations!A5</f>
        <v/>
      </c>
      <c r="C5" s="25" t="inlineStr">
        <is>
          <t>Mature Performer</t>
        </is>
      </c>
      <c r="D5" s="13">
        <f>KPI_Calculations!B5</f>
        <v/>
      </c>
      <c r="E5" s="23">
        <f>IF(KPI_Calculations!B5&gt;0.25,"GREEN",IF(KPI_Calculations!B5&gt;0.15,"AMBER","RED"))</f>
        <v/>
      </c>
      <c r="F5" s="13">
        <f>KPI_Calculations!C5</f>
        <v/>
      </c>
      <c r="G5" s="23">
        <f>IF(KPI_Calculations!C5&gt;0.2,"GREEN",IF(KPI_Calculations!C5&gt;0.12,"AMBER","RED"))</f>
        <v/>
      </c>
      <c r="H5" s="13">
        <f>KPI_Calculations!D5</f>
        <v/>
      </c>
      <c r="I5" s="23">
        <f>IF(KPI_Calculations!D5&gt;0.05,"GREEN",IF(KPI_Calculations!D5&gt;0.02,"AMBER","RED"))</f>
        <v/>
      </c>
      <c r="J5" s="13">
        <f>KPI_Calculations!M5</f>
        <v/>
      </c>
      <c r="K5" s="23">
        <f>IF(KPI_Calculations!M5&gt;0.05,"GREEN",IF(KPI_Calculations!M5&gt;0.03,"AMBER","RED"))</f>
        <v/>
      </c>
      <c r="L5" s="13">
        <f>KPI_Calculations!J5</f>
        <v/>
      </c>
      <c r="M5" s="23">
        <f>IF(KPI_Calculations!J5&gt;0.15,"GREEN",IF(KPI_Calculations!J5&gt;0.1,"AMBER","RED"))</f>
        <v/>
      </c>
      <c r="N5" s="15">
        <f>KPI_Calculations!L5</f>
        <v/>
      </c>
      <c r="O5" s="23">
        <f>IF(KPI_Calculations!L5&gt;80,"GREEN",IF(KPI_Calculations!L5&gt;30,"AMBER","RED"))</f>
        <v/>
      </c>
      <c r="P5" s="15">
        <f>KPI_Calculations!P5</f>
        <v/>
      </c>
      <c r="Q5" s="15">
        <f>KPI_Calculations!R5</f>
        <v/>
      </c>
    </row>
    <row r="6">
      <c r="A6" s="16">
        <f>RANK(KPI_Calculations!B6,KPI_Calculations!B$2:KPI_Calculations!B$30,0)</f>
        <v/>
      </c>
      <c r="B6" s="17">
        <f>KPI_Calculations!A6</f>
        <v/>
      </c>
      <c r="C6" s="24" t="inlineStr">
        <is>
          <t>Growth Engine</t>
        </is>
      </c>
      <c r="D6" s="9">
        <f>KPI_Calculations!B6</f>
        <v/>
      </c>
      <c r="E6" s="19">
        <f>IF(KPI_Calculations!B6&gt;0.25,"GREEN",IF(KPI_Calculations!B6&gt;0.15,"AMBER","RED"))</f>
        <v/>
      </c>
      <c r="F6" s="9">
        <f>KPI_Calculations!C6</f>
        <v/>
      </c>
      <c r="G6" s="19">
        <f>IF(KPI_Calculations!C6&gt;0.2,"GREEN",IF(KPI_Calculations!C6&gt;0.12,"AMBER","RED"))</f>
        <v/>
      </c>
      <c r="H6" s="9">
        <f>KPI_Calculations!D6</f>
        <v/>
      </c>
      <c r="I6" s="19">
        <f>IF(KPI_Calculations!D6&gt;0.05,"GREEN",IF(KPI_Calculations!D6&gt;0.02,"AMBER","RED"))</f>
        <v/>
      </c>
      <c r="J6" s="9">
        <f>KPI_Calculations!M6</f>
        <v/>
      </c>
      <c r="K6" s="19">
        <f>IF(KPI_Calculations!M6&gt;0.05,"GREEN",IF(KPI_Calculations!M6&gt;0.03,"AMBER","RED"))</f>
        <v/>
      </c>
      <c r="L6" s="9">
        <f>KPI_Calculations!J6</f>
        <v/>
      </c>
      <c r="M6" s="19">
        <f>IF(KPI_Calculations!J6&gt;0.15,"GREEN",IF(KPI_Calculations!J6&gt;0.1,"AMBER","RED"))</f>
        <v/>
      </c>
      <c r="N6" s="11">
        <f>KPI_Calculations!L6</f>
        <v/>
      </c>
      <c r="O6" s="19">
        <f>IF(KPI_Calculations!L6&gt;80,"GREEN",IF(KPI_Calculations!L6&gt;30,"AMBER","RED"))</f>
        <v/>
      </c>
      <c r="P6" s="11">
        <f>KPI_Calculations!P6</f>
        <v/>
      </c>
      <c r="Q6" s="11">
        <f>KPI_Calculations!R6</f>
        <v/>
      </c>
    </row>
    <row r="7">
      <c r="A7" s="20">
        <f>RANK(KPI_Calculations!B7,KPI_Calculations!B$2:KPI_Calculations!B$30,0)</f>
        <v/>
      </c>
      <c r="B7" s="21">
        <f>KPI_Calculations!A7</f>
        <v/>
      </c>
      <c r="C7" s="26" t="inlineStr">
        <is>
          <t>Critical Underperformer</t>
        </is>
      </c>
      <c r="D7" s="13">
        <f>KPI_Calculations!B7</f>
        <v/>
      </c>
      <c r="E7" s="23">
        <f>IF(KPI_Calculations!B7&gt;0.25,"GREEN",IF(KPI_Calculations!B7&gt;0.15,"AMBER","RED"))</f>
        <v/>
      </c>
      <c r="F7" s="13">
        <f>KPI_Calculations!C7</f>
        <v/>
      </c>
      <c r="G7" s="23">
        <f>IF(KPI_Calculations!C7&gt;0.2,"GREEN",IF(KPI_Calculations!C7&gt;0.12,"AMBER","RED"))</f>
        <v/>
      </c>
      <c r="H7" s="13">
        <f>KPI_Calculations!D7</f>
        <v/>
      </c>
      <c r="I7" s="23">
        <f>IF(KPI_Calculations!D7&gt;0.05,"GREEN",IF(KPI_Calculations!D7&gt;0.02,"AMBER","RED"))</f>
        <v/>
      </c>
      <c r="J7" s="13">
        <f>KPI_Calculations!M7</f>
        <v/>
      </c>
      <c r="K7" s="23">
        <f>IF(KPI_Calculations!M7&gt;0.05,"GREEN",IF(KPI_Calculations!M7&gt;0.03,"AMBER","RED"))</f>
        <v/>
      </c>
      <c r="L7" s="13">
        <f>KPI_Calculations!J7</f>
        <v/>
      </c>
      <c r="M7" s="23">
        <f>IF(KPI_Calculations!J7&gt;0.15,"GREEN",IF(KPI_Calculations!J7&gt;0.1,"AMBER","RED"))</f>
        <v/>
      </c>
      <c r="N7" s="15">
        <f>KPI_Calculations!L7</f>
        <v/>
      </c>
      <c r="O7" s="23">
        <f>IF(KPI_Calculations!L7&gt;80,"GREEN",IF(KPI_Calculations!L7&gt;30,"AMBER","RED"))</f>
        <v/>
      </c>
      <c r="P7" s="15">
        <f>KPI_Calculations!P7</f>
        <v/>
      </c>
      <c r="Q7" s="15">
        <f>KPI_Calculations!R7</f>
        <v/>
      </c>
    </row>
    <row r="8">
      <c r="A8" s="16">
        <f>RANK(KPI_Calculations!B8,KPI_Calculations!B$2:KPI_Calculations!B$30,0)</f>
        <v/>
      </c>
      <c r="B8" s="17">
        <f>KPI_Calculations!A8</f>
        <v/>
      </c>
      <c r="C8" s="25" t="inlineStr">
        <is>
          <t>Mature Performer</t>
        </is>
      </c>
      <c r="D8" s="9">
        <f>KPI_Calculations!B8</f>
        <v/>
      </c>
      <c r="E8" s="19">
        <f>IF(KPI_Calculations!B8&gt;0.25,"GREEN",IF(KPI_Calculations!B8&gt;0.15,"AMBER","RED"))</f>
        <v/>
      </c>
      <c r="F8" s="9">
        <f>KPI_Calculations!C8</f>
        <v/>
      </c>
      <c r="G8" s="19">
        <f>IF(KPI_Calculations!C8&gt;0.2,"GREEN",IF(KPI_Calculations!C8&gt;0.12,"AMBER","RED"))</f>
        <v/>
      </c>
      <c r="H8" s="9">
        <f>KPI_Calculations!D8</f>
        <v/>
      </c>
      <c r="I8" s="19">
        <f>IF(KPI_Calculations!D8&gt;0.05,"GREEN",IF(KPI_Calculations!D8&gt;0.02,"AMBER","RED"))</f>
        <v/>
      </c>
      <c r="J8" s="9">
        <f>KPI_Calculations!M8</f>
        <v/>
      </c>
      <c r="K8" s="19">
        <f>IF(KPI_Calculations!M8&gt;0.05,"GREEN",IF(KPI_Calculations!M8&gt;0.03,"AMBER","RED"))</f>
        <v/>
      </c>
      <c r="L8" s="9">
        <f>KPI_Calculations!J8</f>
        <v/>
      </c>
      <c r="M8" s="19">
        <f>IF(KPI_Calculations!J8&gt;0.15,"GREEN",IF(KPI_Calculations!J8&gt;0.1,"AMBER","RED"))</f>
        <v/>
      </c>
      <c r="N8" s="11">
        <f>KPI_Calculations!L8</f>
        <v/>
      </c>
      <c r="O8" s="19">
        <f>IF(KPI_Calculations!L8&gt;80,"GREEN",IF(KPI_Calculations!L8&gt;30,"AMBER","RED"))</f>
        <v/>
      </c>
      <c r="P8" s="11">
        <f>KPI_Calculations!P8</f>
        <v/>
      </c>
      <c r="Q8" s="11">
        <f>KPI_Calculations!R8</f>
        <v/>
      </c>
    </row>
    <row r="9">
      <c r="A9" s="20">
        <f>RANK(KPI_Calculations!B9,KPI_Calculations!B$2:KPI_Calculations!B$30,0)</f>
        <v/>
      </c>
      <c r="B9" s="21">
        <f>KPI_Calculations!A9</f>
        <v/>
      </c>
      <c r="C9" s="24" t="inlineStr">
        <is>
          <t>Growth Engine</t>
        </is>
      </c>
      <c r="D9" s="13">
        <f>KPI_Calculations!B9</f>
        <v/>
      </c>
      <c r="E9" s="23">
        <f>IF(KPI_Calculations!B9&gt;0.25,"GREEN",IF(KPI_Calculations!B9&gt;0.15,"AMBER","RED"))</f>
        <v/>
      </c>
      <c r="F9" s="13">
        <f>KPI_Calculations!C9</f>
        <v/>
      </c>
      <c r="G9" s="23">
        <f>IF(KPI_Calculations!C9&gt;0.2,"GREEN",IF(KPI_Calculations!C9&gt;0.12,"AMBER","RED"))</f>
        <v/>
      </c>
      <c r="H9" s="13">
        <f>KPI_Calculations!D9</f>
        <v/>
      </c>
      <c r="I9" s="23">
        <f>IF(KPI_Calculations!D9&gt;0.05,"GREEN",IF(KPI_Calculations!D9&gt;0.02,"AMBER","RED"))</f>
        <v/>
      </c>
      <c r="J9" s="13">
        <f>KPI_Calculations!M9</f>
        <v/>
      </c>
      <c r="K9" s="23">
        <f>IF(KPI_Calculations!M9&gt;0.05,"GREEN",IF(KPI_Calculations!M9&gt;0.03,"AMBER","RED"))</f>
        <v/>
      </c>
      <c r="L9" s="13">
        <f>KPI_Calculations!J9</f>
        <v/>
      </c>
      <c r="M9" s="23">
        <f>IF(KPI_Calculations!J9&gt;0.15,"GREEN",IF(KPI_Calculations!J9&gt;0.1,"AMBER","RED"))</f>
        <v/>
      </c>
      <c r="N9" s="15">
        <f>KPI_Calculations!L9</f>
        <v/>
      </c>
      <c r="O9" s="23">
        <f>IF(KPI_Calculations!L9&gt;80,"GREEN",IF(KPI_Calculations!L9&gt;30,"AMBER","RED"))</f>
        <v/>
      </c>
      <c r="P9" s="15">
        <f>KPI_Calculations!P9</f>
        <v/>
      </c>
      <c r="Q9" s="15">
        <f>KPI_Calculations!R9</f>
        <v/>
      </c>
    </row>
    <row r="10">
      <c r="A10" s="16">
        <f>RANK(KPI_Calculations!B10,KPI_Calculations!B$2:KPI_Calculations!B$30,0)</f>
        <v/>
      </c>
      <c r="B10" s="17">
        <f>KPI_Calculations!A10</f>
        <v/>
      </c>
      <c r="C10" s="27" t="inlineStr">
        <is>
          <t>Cash Cow</t>
        </is>
      </c>
      <c r="D10" s="9">
        <f>KPI_Calculations!B10</f>
        <v/>
      </c>
      <c r="E10" s="19">
        <f>IF(KPI_Calculations!B10&gt;0.25,"GREEN",IF(KPI_Calculations!B10&gt;0.15,"AMBER","RED"))</f>
        <v/>
      </c>
      <c r="F10" s="9">
        <f>KPI_Calculations!C10</f>
        <v/>
      </c>
      <c r="G10" s="19">
        <f>IF(KPI_Calculations!C10&gt;0.2,"GREEN",IF(KPI_Calculations!C10&gt;0.12,"AMBER","RED"))</f>
        <v/>
      </c>
      <c r="H10" s="9">
        <f>KPI_Calculations!D10</f>
        <v/>
      </c>
      <c r="I10" s="19">
        <f>IF(KPI_Calculations!D10&gt;0.05,"GREEN",IF(KPI_Calculations!D10&gt;0.02,"AMBER","RED"))</f>
        <v/>
      </c>
      <c r="J10" s="9">
        <f>KPI_Calculations!M10</f>
        <v/>
      </c>
      <c r="K10" s="19">
        <f>IF(KPI_Calculations!M10&gt;0.05,"GREEN",IF(KPI_Calculations!M10&gt;0.03,"AMBER","RED"))</f>
        <v/>
      </c>
      <c r="L10" s="9">
        <f>KPI_Calculations!J10</f>
        <v/>
      </c>
      <c r="M10" s="19">
        <f>IF(KPI_Calculations!J10&gt;0.15,"GREEN",IF(KPI_Calculations!J10&gt;0.1,"AMBER","RED"))</f>
        <v/>
      </c>
      <c r="N10" s="11">
        <f>KPI_Calculations!L10</f>
        <v/>
      </c>
      <c r="O10" s="19">
        <f>IF(KPI_Calculations!L10&gt;80,"GREEN",IF(KPI_Calculations!L10&gt;30,"AMBER","RED"))</f>
        <v/>
      </c>
      <c r="P10" s="11">
        <f>KPI_Calculations!P10</f>
        <v/>
      </c>
      <c r="Q10" s="11">
        <f>KPI_Calculations!R10</f>
        <v/>
      </c>
    </row>
    <row r="11">
      <c r="A11" s="20">
        <f>RANK(KPI_Calculations!B11,KPI_Calculations!B$2:KPI_Calculations!B$30,0)</f>
        <v/>
      </c>
      <c r="B11" s="21">
        <f>KPI_Calculations!A11</f>
        <v/>
      </c>
      <c r="C11" s="24" t="inlineStr">
        <is>
          <t>Growth Engine</t>
        </is>
      </c>
      <c r="D11" s="13">
        <f>KPI_Calculations!B11</f>
        <v/>
      </c>
      <c r="E11" s="23">
        <f>IF(KPI_Calculations!B11&gt;0.25,"GREEN",IF(KPI_Calculations!B11&gt;0.15,"AMBER","RED"))</f>
        <v/>
      </c>
      <c r="F11" s="13">
        <f>KPI_Calculations!C11</f>
        <v/>
      </c>
      <c r="G11" s="23">
        <f>IF(KPI_Calculations!C11&gt;0.2,"GREEN",IF(KPI_Calculations!C11&gt;0.12,"AMBER","RED"))</f>
        <v/>
      </c>
      <c r="H11" s="13">
        <f>KPI_Calculations!D11</f>
        <v/>
      </c>
      <c r="I11" s="23">
        <f>IF(KPI_Calculations!D11&gt;0.05,"GREEN",IF(KPI_Calculations!D11&gt;0.02,"AMBER","RED"))</f>
        <v/>
      </c>
      <c r="J11" s="13">
        <f>KPI_Calculations!M11</f>
        <v/>
      </c>
      <c r="K11" s="23">
        <f>IF(KPI_Calculations!M11&gt;0.05,"GREEN",IF(KPI_Calculations!M11&gt;0.03,"AMBER","RED"))</f>
        <v/>
      </c>
      <c r="L11" s="13">
        <f>KPI_Calculations!J11</f>
        <v/>
      </c>
      <c r="M11" s="23">
        <f>IF(KPI_Calculations!J11&gt;0.15,"GREEN",IF(KPI_Calculations!J11&gt;0.1,"AMBER","RED"))</f>
        <v/>
      </c>
      <c r="N11" s="15">
        <f>KPI_Calculations!L11</f>
        <v/>
      </c>
      <c r="O11" s="23">
        <f>IF(KPI_Calculations!L11&gt;80,"GREEN",IF(KPI_Calculations!L11&gt;30,"AMBER","RED"))</f>
        <v/>
      </c>
      <c r="P11" s="15">
        <f>KPI_Calculations!P11</f>
        <v/>
      </c>
      <c r="Q11" s="15">
        <f>KPI_Calculations!R11</f>
        <v/>
      </c>
    </row>
    <row r="12">
      <c r="A12" s="16">
        <f>RANK(KPI_Calculations!B12,KPI_Calculations!B$2:KPI_Calculations!B$30,0)</f>
        <v/>
      </c>
      <c r="B12" s="17">
        <f>KPI_Calculations!A12</f>
        <v/>
      </c>
      <c r="C12" s="24" t="inlineStr">
        <is>
          <t>Growth Engine</t>
        </is>
      </c>
      <c r="D12" s="9">
        <f>KPI_Calculations!B12</f>
        <v/>
      </c>
      <c r="E12" s="19">
        <f>IF(KPI_Calculations!B12&gt;0.25,"GREEN",IF(KPI_Calculations!B12&gt;0.15,"AMBER","RED"))</f>
        <v/>
      </c>
      <c r="F12" s="9">
        <f>KPI_Calculations!C12</f>
        <v/>
      </c>
      <c r="G12" s="19">
        <f>IF(KPI_Calculations!C12&gt;0.2,"GREEN",IF(KPI_Calculations!C12&gt;0.12,"AMBER","RED"))</f>
        <v/>
      </c>
      <c r="H12" s="9">
        <f>KPI_Calculations!D12</f>
        <v/>
      </c>
      <c r="I12" s="19">
        <f>IF(KPI_Calculations!D12&gt;0.05,"GREEN",IF(KPI_Calculations!D12&gt;0.02,"AMBER","RED"))</f>
        <v/>
      </c>
      <c r="J12" s="9">
        <f>KPI_Calculations!M12</f>
        <v/>
      </c>
      <c r="K12" s="19">
        <f>IF(KPI_Calculations!M12&gt;0.05,"GREEN",IF(KPI_Calculations!M12&gt;0.03,"AMBER","RED"))</f>
        <v/>
      </c>
      <c r="L12" s="9">
        <f>KPI_Calculations!J12</f>
        <v/>
      </c>
      <c r="M12" s="19">
        <f>IF(KPI_Calculations!J12&gt;0.15,"GREEN",IF(KPI_Calculations!J12&gt;0.1,"AMBER","RED"))</f>
        <v/>
      </c>
      <c r="N12" s="11">
        <f>KPI_Calculations!L12</f>
        <v/>
      </c>
      <c r="O12" s="19">
        <f>IF(KPI_Calculations!L12&gt;80,"GREEN",IF(KPI_Calculations!L12&gt;30,"AMBER","RED"))</f>
        <v/>
      </c>
      <c r="P12" s="11">
        <f>KPI_Calculations!P12</f>
        <v/>
      </c>
      <c r="Q12" s="11">
        <f>KPI_Calculations!R12</f>
        <v/>
      </c>
    </row>
    <row r="13">
      <c r="A13" s="20">
        <f>RANK(KPI_Calculations!B13,KPI_Calculations!B$2:KPI_Calculations!B$30,0)</f>
        <v/>
      </c>
      <c r="B13" s="21">
        <f>KPI_Calculations!A13</f>
        <v/>
      </c>
      <c r="C13" s="24" t="inlineStr">
        <is>
          <t>Growth Engine</t>
        </is>
      </c>
      <c r="D13" s="13">
        <f>KPI_Calculations!B13</f>
        <v/>
      </c>
      <c r="E13" s="23">
        <f>IF(KPI_Calculations!B13&gt;0.25,"GREEN",IF(KPI_Calculations!B13&gt;0.15,"AMBER","RED"))</f>
        <v/>
      </c>
      <c r="F13" s="13">
        <f>KPI_Calculations!C13</f>
        <v/>
      </c>
      <c r="G13" s="23">
        <f>IF(KPI_Calculations!C13&gt;0.2,"GREEN",IF(KPI_Calculations!C13&gt;0.12,"AMBER","RED"))</f>
        <v/>
      </c>
      <c r="H13" s="13">
        <f>KPI_Calculations!D13</f>
        <v/>
      </c>
      <c r="I13" s="23">
        <f>IF(KPI_Calculations!D13&gt;0.05,"GREEN",IF(KPI_Calculations!D13&gt;0.02,"AMBER","RED"))</f>
        <v/>
      </c>
      <c r="J13" s="13">
        <f>KPI_Calculations!M13</f>
        <v/>
      </c>
      <c r="K13" s="23">
        <f>IF(KPI_Calculations!M13&gt;0.05,"GREEN",IF(KPI_Calculations!M13&gt;0.03,"AMBER","RED"))</f>
        <v/>
      </c>
      <c r="L13" s="13">
        <f>KPI_Calculations!J13</f>
        <v/>
      </c>
      <c r="M13" s="23">
        <f>IF(KPI_Calculations!J13&gt;0.15,"GREEN",IF(KPI_Calculations!J13&gt;0.1,"AMBER","RED"))</f>
        <v/>
      </c>
      <c r="N13" s="15">
        <f>KPI_Calculations!L13</f>
        <v/>
      </c>
      <c r="O13" s="23">
        <f>IF(KPI_Calculations!L13&gt;80,"GREEN",IF(KPI_Calculations!L13&gt;30,"AMBER","RED"))</f>
        <v/>
      </c>
      <c r="P13" s="15">
        <f>KPI_Calculations!P13</f>
        <v/>
      </c>
      <c r="Q13" s="15">
        <f>KPI_Calculations!R13</f>
        <v/>
      </c>
    </row>
    <row r="14">
      <c r="A14" s="16">
        <f>RANK(KPI_Calculations!B14,KPI_Calculations!B$2:KPI_Calculations!B$30,0)</f>
        <v/>
      </c>
      <c r="B14" s="17">
        <f>KPI_Calculations!A14</f>
        <v/>
      </c>
      <c r="C14" s="28" t="inlineStr">
        <is>
          <t>Structural Outlier</t>
        </is>
      </c>
      <c r="D14" s="9">
        <f>KPI_Calculations!B14</f>
        <v/>
      </c>
      <c r="E14" s="19">
        <f>IF(KPI_Calculations!B14&gt;0.25,"GREEN",IF(KPI_Calculations!B14&gt;0.15,"AMBER","RED"))</f>
        <v/>
      </c>
      <c r="F14" s="9">
        <f>KPI_Calculations!C14</f>
        <v/>
      </c>
      <c r="G14" s="19">
        <f>IF(KPI_Calculations!C14&gt;0.2,"GREEN",IF(KPI_Calculations!C14&gt;0.12,"AMBER","RED"))</f>
        <v/>
      </c>
      <c r="H14" s="9">
        <f>KPI_Calculations!D14</f>
        <v/>
      </c>
      <c r="I14" s="19">
        <f>IF(KPI_Calculations!D14&gt;0.05,"GREEN",IF(KPI_Calculations!D14&gt;0.02,"AMBER","RED"))</f>
        <v/>
      </c>
      <c r="J14" s="9">
        <f>KPI_Calculations!M14</f>
        <v/>
      </c>
      <c r="K14" s="19">
        <f>IF(KPI_Calculations!M14&gt;0.05,"GREEN",IF(KPI_Calculations!M14&gt;0.03,"AMBER","RED"))</f>
        <v/>
      </c>
      <c r="L14" s="9">
        <f>KPI_Calculations!J14</f>
        <v/>
      </c>
      <c r="M14" s="19">
        <f>IF(KPI_Calculations!J14&gt;0.15,"GREEN",IF(KPI_Calculations!J14&gt;0.1,"AMBER","RED"))</f>
        <v/>
      </c>
      <c r="N14" s="11">
        <f>KPI_Calculations!L14</f>
        <v/>
      </c>
      <c r="O14" s="19">
        <f>IF(KPI_Calculations!L14&gt;80,"GREEN",IF(KPI_Calculations!L14&gt;30,"AMBER","RED"))</f>
        <v/>
      </c>
      <c r="P14" s="11">
        <f>KPI_Calculations!P14</f>
        <v/>
      </c>
      <c r="Q14" s="11">
        <f>KPI_Calculations!R14</f>
        <v/>
      </c>
    </row>
    <row r="15">
      <c r="A15" s="20">
        <f>RANK(KPI_Calculations!B15,KPI_Calculations!B$2:KPI_Calculations!B$30,0)</f>
        <v/>
      </c>
      <c r="B15" s="21">
        <f>KPI_Calculations!A15</f>
        <v/>
      </c>
      <c r="C15" s="24" t="inlineStr">
        <is>
          <t>Growth Engine</t>
        </is>
      </c>
      <c r="D15" s="13">
        <f>KPI_Calculations!B15</f>
        <v/>
      </c>
      <c r="E15" s="23">
        <f>IF(KPI_Calculations!B15&gt;0.25,"GREEN",IF(KPI_Calculations!B15&gt;0.15,"AMBER","RED"))</f>
        <v/>
      </c>
      <c r="F15" s="13">
        <f>KPI_Calculations!C15</f>
        <v/>
      </c>
      <c r="G15" s="23">
        <f>IF(KPI_Calculations!C15&gt;0.2,"GREEN",IF(KPI_Calculations!C15&gt;0.12,"AMBER","RED"))</f>
        <v/>
      </c>
      <c r="H15" s="13">
        <f>KPI_Calculations!D15</f>
        <v/>
      </c>
      <c r="I15" s="23">
        <f>IF(KPI_Calculations!D15&gt;0.05,"GREEN",IF(KPI_Calculations!D15&gt;0.02,"AMBER","RED"))</f>
        <v/>
      </c>
      <c r="J15" s="13">
        <f>KPI_Calculations!M15</f>
        <v/>
      </c>
      <c r="K15" s="23">
        <f>IF(KPI_Calculations!M15&gt;0.05,"GREEN",IF(KPI_Calculations!M15&gt;0.03,"AMBER","RED"))</f>
        <v/>
      </c>
      <c r="L15" s="13">
        <f>KPI_Calculations!J15</f>
        <v/>
      </c>
      <c r="M15" s="23">
        <f>IF(KPI_Calculations!J15&gt;0.15,"GREEN",IF(KPI_Calculations!J15&gt;0.1,"AMBER","RED"))</f>
        <v/>
      </c>
      <c r="N15" s="15">
        <f>KPI_Calculations!L15</f>
        <v/>
      </c>
      <c r="O15" s="23">
        <f>IF(KPI_Calculations!L15&gt;80,"GREEN",IF(KPI_Calculations!L15&gt;30,"AMBER","RED"))</f>
        <v/>
      </c>
      <c r="P15" s="15">
        <f>KPI_Calculations!P15</f>
        <v/>
      </c>
      <c r="Q15" s="15">
        <f>KPI_Calculations!R15</f>
        <v/>
      </c>
    </row>
    <row r="16">
      <c r="A16" s="16">
        <f>RANK(KPI_Calculations!B16,KPI_Calculations!B$2:KPI_Calculations!B$30,0)</f>
        <v/>
      </c>
      <c r="B16" s="17">
        <f>KPI_Calculations!A16</f>
        <v/>
      </c>
      <c r="C16" s="24" t="inlineStr">
        <is>
          <t>Growth Engine</t>
        </is>
      </c>
      <c r="D16" s="9">
        <f>KPI_Calculations!B16</f>
        <v/>
      </c>
      <c r="E16" s="19">
        <f>IF(KPI_Calculations!B16&gt;0.25,"GREEN",IF(KPI_Calculations!B16&gt;0.15,"AMBER","RED"))</f>
        <v/>
      </c>
      <c r="F16" s="9">
        <f>KPI_Calculations!C16</f>
        <v/>
      </c>
      <c r="G16" s="19">
        <f>IF(KPI_Calculations!C16&gt;0.2,"GREEN",IF(KPI_Calculations!C16&gt;0.12,"AMBER","RED"))</f>
        <v/>
      </c>
      <c r="H16" s="9">
        <f>KPI_Calculations!D16</f>
        <v/>
      </c>
      <c r="I16" s="19">
        <f>IF(KPI_Calculations!D16&gt;0.05,"GREEN",IF(KPI_Calculations!D16&gt;0.02,"AMBER","RED"))</f>
        <v/>
      </c>
      <c r="J16" s="9">
        <f>KPI_Calculations!M16</f>
        <v/>
      </c>
      <c r="K16" s="19">
        <f>IF(KPI_Calculations!M16&gt;0.05,"GREEN",IF(KPI_Calculations!M16&gt;0.03,"AMBER","RED"))</f>
        <v/>
      </c>
      <c r="L16" s="9">
        <f>KPI_Calculations!J16</f>
        <v/>
      </c>
      <c r="M16" s="19">
        <f>IF(KPI_Calculations!J16&gt;0.15,"GREEN",IF(KPI_Calculations!J16&gt;0.1,"AMBER","RED"))</f>
        <v/>
      </c>
      <c r="N16" s="11">
        <f>KPI_Calculations!L16</f>
        <v/>
      </c>
      <c r="O16" s="19">
        <f>IF(KPI_Calculations!L16&gt;80,"GREEN",IF(KPI_Calculations!L16&gt;30,"AMBER","RED"))</f>
        <v/>
      </c>
      <c r="P16" s="11">
        <f>KPI_Calculations!P16</f>
        <v/>
      </c>
      <c r="Q16" s="11">
        <f>KPI_Calculations!R16</f>
        <v/>
      </c>
    </row>
    <row r="17">
      <c r="A17" s="20">
        <f>RANK(KPI_Calculations!B17,KPI_Calculations!B$2:KPI_Calculations!B$30,0)</f>
        <v/>
      </c>
      <c r="B17" s="21">
        <f>KPI_Calculations!A17</f>
        <v/>
      </c>
      <c r="C17" s="27" t="inlineStr">
        <is>
          <t>Cash Cow</t>
        </is>
      </c>
      <c r="D17" s="13">
        <f>KPI_Calculations!B17</f>
        <v/>
      </c>
      <c r="E17" s="23">
        <f>IF(KPI_Calculations!B17&gt;0.25,"GREEN",IF(KPI_Calculations!B17&gt;0.15,"AMBER","RED"))</f>
        <v/>
      </c>
      <c r="F17" s="13">
        <f>KPI_Calculations!C17</f>
        <v/>
      </c>
      <c r="G17" s="23">
        <f>IF(KPI_Calculations!C17&gt;0.2,"GREEN",IF(KPI_Calculations!C17&gt;0.12,"AMBER","RED"))</f>
        <v/>
      </c>
      <c r="H17" s="13">
        <f>KPI_Calculations!D17</f>
        <v/>
      </c>
      <c r="I17" s="23">
        <f>IF(KPI_Calculations!D17&gt;0.05,"GREEN",IF(KPI_Calculations!D17&gt;0.02,"AMBER","RED"))</f>
        <v/>
      </c>
      <c r="J17" s="13">
        <f>KPI_Calculations!M17</f>
        <v/>
      </c>
      <c r="K17" s="23">
        <f>IF(KPI_Calculations!M17&gt;0.05,"GREEN",IF(KPI_Calculations!M17&gt;0.03,"AMBER","RED"))</f>
        <v/>
      </c>
      <c r="L17" s="13">
        <f>KPI_Calculations!J17</f>
        <v/>
      </c>
      <c r="M17" s="23">
        <f>IF(KPI_Calculations!J17&gt;0.15,"GREEN",IF(KPI_Calculations!J17&gt;0.1,"AMBER","RED"))</f>
        <v/>
      </c>
      <c r="N17" s="15">
        <f>KPI_Calculations!L17</f>
        <v/>
      </c>
      <c r="O17" s="23">
        <f>IF(KPI_Calculations!L17&gt;80,"GREEN",IF(KPI_Calculations!L17&gt;30,"AMBER","RED"))</f>
        <v/>
      </c>
      <c r="P17" s="15">
        <f>KPI_Calculations!P17</f>
        <v/>
      </c>
      <c r="Q17" s="15">
        <f>KPI_Calculations!R17</f>
        <v/>
      </c>
    </row>
    <row r="18">
      <c r="A18" s="16">
        <f>RANK(KPI_Calculations!B18,KPI_Calculations!B$2:KPI_Calculations!B$30,0)</f>
        <v/>
      </c>
      <c r="B18" s="17">
        <f>KPI_Calculations!A18</f>
        <v/>
      </c>
      <c r="C18" s="27" t="inlineStr">
        <is>
          <t>Cash Cow</t>
        </is>
      </c>
      <c r="D18" s="9">
        <f>KPI_Calculations!B18</f>
        <v/>
      </c>
      <c r="E18" s="19">
        <f>IF(KPI_Calculations!B18&gt;0.25,"GREEN",IF(KPI_Calculations!B18&gt;0.15,"AMBER","RED"))</f>
        <v/>
      </c>
      <c r="F18" s="9">
        <f>KPI_Calculations!C18</f>
        <v/>
      </c>
      <c r="G18" s="19">
        <f>IF(KPI_Calculations!C18&gt;0.2,"GREEN",IF(KPI_Calculations!C18&gt;0.12,"AMBER","RED"))</f>
        <v/>
      </c>
      <c r="H18" s="9">
        <f>KPI_Calculations!D18</f>
        <v/>
      </c>
      <c r="I18" s="19">
        <f>IF(KPI_Calculations!D18&gt;0.05,"GREEN",IF(KPI_Calculations!D18&gt;0.02,"AMBER","RED"))</f>
        <v/>
      </c>
      <c r="J18" s="9">
        <f>KPI_Calculations!M18</f>
        <v/>
      </c>
      <c r="K18" s="19">
        <f>IF(KPI_Calculations!M18&gt;0.05,"GREEN",IF(KPI_Calculations!M18&gt;0.03,"AMBER","RED"))</f>
        <v/>
      </c>
      <c r="L18" s="9">
        <f>KPI_Calculations!J18</f>
        <v/>
      </c>
      <c r="M18" s="19">
        <f>IF(KPI_Calculations!J18&gt;0.15,"GREEN",IF(KPI_Calculations!J18&gt;0.1,"AMBER","RED"))</f>
        <v/>
      </c>
      <c r="N18" s="11">
        <f>KPI_Calculations!L18</f>
        <v/>
      </c>
      <c r="O18" s="19">
        <f>IF(KPI_Calculations!L18&gt;80,"GREEN",IF(KPI_Calculations!L18&gt;30,"AMBER","RED"))</f>
        <v/>
      </c>
      <c r="P18" s="11">
        <f>KPI_Calculations!P18</f>
        <v/>
      </c>
      <c r="Q18" s="11">
        <f>KPI_Calculations!R18</f>
        <v/>
      </c>
    </row>
    <row r="19">
      <c r="A19" s="20">
        <f>RANK(KPI_Calculations!B19,KPI_Calculations!B$2:KPI_Calculations!B$30,0)</f>
        <v/>
      </c>
      <c r="B19" s="21">
        <f>KPI_Calculations!A19</f>
        <v/>
      </c>
      <c r="C19" s="29" t="inlineStr">
        <is>
          <t>Stable Regional</t>
        </is>
      </c>
      <c r="D19" s="13">
        <f>KPI_Calculations!B19</f>
        <v/>
      </c>
      <c r="E19" s="23">
        <f>IF(KPI_Calculations!B19&gt;0.25,"GREEN",IF(KPI_Calculations!B19&gt;0.15,"AMBER","RED"))</f>
        <v/>
      </c>
      <c r="F19" s="13">
        <f>KPI_Calculations!C19</f>
        <v/>
      </c>
      <c r="G19" s="23">
        <f>IF(KPI_Calculations!C19&gt;0.2,"GREEN",IF(KPI_Calculations!C19&gt;0.12,"AMBER","RED"))</f>
        <v/>
      </c>
      <c r="H19" s="13">
        <f>KPI_Calculations!D19</f>
        <v/>
      </c>
      <c r="I19" s="23">
        <f>IF(KPI_Calculations!D19&gt;0.05,"GREEN",IF(KPI_Calculations!D19&gt;0.02,"AMBER","RED"))</f>
        <v/>
      </c>
      <c r="J19" s="13">
        <f>KPI_Calculations!M19</f>
        <v/>
      </c>
      <c r="K19" s="23">
        <f>IF(KPI_Calculations!M19&gt;0.05,"GREEN",IF(KPI_Calculations!M19&gt;0.03,"AMBER","RED"))</f>
        <v/>
      </c>
      <c r="L19" s="13">
        <f>KPI_Calculations!J19</f>
        <v/>
      </c>
      <c r="M19" s="23">
        <f>IF(KPI_Calculations!J19&gt;0.15,"GREEN",IF(KPI_Calculations!J19&gt;0.1,"AMBER","RED"))</f>
        <v/>
      </c>
      <c r="N19" s="15">
        <f>KPI_Calculations!L19</f>
        <v/>
      </c>
      <c r="O19" s="23">
        <f>IF(KPI_Calculations!L19&gt;80,"GREEN",IF(KPI_Calculations!L19&gt;30,"AMBER","RED"))</f>
        <v/>
      </c>
      <c r="P19" s="15">
        <f>KPI_Calculations!P19</f>
        <v/>
      </c>
      <c r="Q19" s="15">
        <f>KPI_Calculations!R19</f>
        <v/>
      </c>
    </row>
    <row r="20">
      <c r="A20" s="16">
        <f>RANK(KPI_Calculations!B20,KPI_Calculations!B$2:KPI_Calculations!B$30,0)</f>
        <v/>
      </c>
      <c r="B20" s="17">
        <f>KPI_Calculations!A20</f>
        <v/>
      </c>
      <c r="C20" s="27" t="inlineStr">
        <is>
          <t>Cash Cow</t>
        </is>
      </c>
      <c r="D20" s="9">
        <f>KPI_Calculations!B20</f>
        <v/>
      </c>
      <c r="E20" s="19">
        <f>IF(KPI_Calculations!B20&gt;0.25,"GREEN",IF(KPI_Calculations!B20&gt;0.15,"AMBER","RED"))</f>
        <v/>
      </c>
      <c r="F20" s="9">
        <f>KPI_Calculations!C20</f>
        <v/>
      </c>
      <c r="G20" s="19">
        <f>IF(KPI_Calculations!C20&gt;0.2,"GREEN",IF(KPI_Calculations!C20&gt;0.12,"AMBER","RED"))</f>
        <v/>
      </c>
      <c r="H20" s="9">
        <f>KPI_Calculations!D20</f>
        <v/>
      </c>
      <c r="I20" s="19">
        <f>IF(KPI_Calculations!D20&gt;0.05,"GREEN",IF(KPI_Calculations!D20&gt;0.02,"AMBER","RED"))</f>
        <v/>
      </c>
      <c r="J20" s="9">
        <f>KPI_Calculations!M20</f>
        <v/>
      </c>
      <c r="K20" s="19">
        <f>IF(KPI_Calculations!M20&gt;0.05,"GREEN",IF(KPI_Calculations!M20&gt;0.03,"AMBER","RED"))</f>
        <v/>
      </c>
      <c r="L20" s="9">
        <f>KPI_Calculations!J20</f>
        <v/>
      </c>
      <c r="M20" s="19">
        <f>IF(KPI_Calculations!J20&gt;0.15,"GREEN",IF(KPI_Calculations!J20&gt;0.1,"AMBER","RED"))</f>
        <v/>
      </c>
      <c r="N20" s="11">
        <f>KPI_Calculations!L20</f>
        <v/>
      </c>
      <c r="O20" s="19">
        <f>IF(KPI_Calculations!L20&gt;80,"GREEN",IF(KPI_Calculations!L20&gt;30,"AMBER","RED"))</f>
        <v/>
      </c>
      <c r="P20" s="11">
        <f>KPI_Calculations!P20</f>
        <v/>
      </c>
      <c r="Q20" s="11">
        <f>KPI_Calculations!R20</f>
        <v/>
      </c>
    </row>
    <row r="21">
      <c r="A21" s="20">
        <f>RANK(KPI_Calculations!B21,KPI_Calculations!B$2:KPI_Calculations!B$30,0)</f>
        <v/>
      </c>
      <c r="B21" s="21">
        <f>KPI_Calculations!A21</f>
        <v/>
      </c>
      <c r="C21" s="26" t="inlineStr">
        <is>
          <t>Underperformer</t>
        </is>
      </c>
      <c r="D21" s="13">
        <f>KPI_Calculations!B21</f>
        <v/>
      </c>
      <c r="E21" s="23">
        <f>IF(KPI_Calculations!B21&gt;0.25,"GREEN",IF(KPI_Calculations!B21&gt;0.15,"AMBER","RED"))</f>
        <v/>
      </c>
      <c r="F21" s="13">
        <f>KPI_Calculations!C21</f>
        <v/>
      </c>
      <c r="G21" s="23">
        <f>IF(KPI_Calculations!C21&gt;0.2,"GREEN",IF(KPI_Calculations!C21&gt;0.12,"AMBER","RED"))</f>
        <v/>
      </c>
      <c r="H21" s="13">
        <f>KPI_Calculations!D21</f>
        <v/>
      </c>
      <c r="I21" s="23">
        <f>IF(KPI_Calculations!D21&gt;0.05,"GREEN",IF(KPI_Calculations!D21&gt;0.02,"AMBER","RED"))</f>
        <v/>
      </c>
      <c r="J21" s="13">
        <f>KPI_Calculations!M21</f>
        <v/>
      </c>
      <c r="K21" s="23">
        <f>IF(KPI_Calculations!M21&gt;0.05,"GREEN",IF(KPI_Calculations!M21&gt;0.03,"AMBER","RED"))</f>
        <v/>
      </c>
      <c r="L21" s="13">
        <f>KPI_Calculations!J21</f>
        <v/>
      </c>
      <c r="M21" s="23">
        <f>IF(KPI_Calculations!J21&gt;0.15,"GREEN",IF(KPI_Calculations!J21&gt;0.1,"AMBER","RED"))</f>
        <v/>
      </c>
      <c r="N21" s="15">
        <f>KPI_Calculations!L21</f>
        <v/>
      </c>
      <c r="O21" s="23">
        <f>IF(KPI_Calculations!L21&gt;80,"GREEN",IF(KPI_Calculations!L21&gt;30,"AMBER","RED"))</f>
        <v/>
      </c>
      <c r="P21" s="15">
        <f>KPI_Calculations!P21</f>
        <v/>
      </c>
      <c r="Q21" s="15">
        <f>KPI_Calculations!R21</f>
        <v/>
      </c>
    </row>
    <row r="22">
      <c r="A22" s="16">
        <f>RANK(KPI_Calculations!B22,KPI_Calculations!B$2:KPI_Calculations!B$30,0)</f>
        <v/>
      </c>
      <c r="B22" s="17">
        <f>KPI_Calculations!A22</f>
        <v/>
      </c>
      <c r="C22" s="29" t="inlineStr">
        <is>
          <t>Stable Regional</t>
        </is>
      </c>
      <c r="D22" s="9">
        <f>KPI_Calculations!B22</f>
        <v/>
      </c>
      <c r="E22" s="19">
        <f>IF(KPI_Calculations!B22&gt;0.25,"GREEN",IF(KPI_Calculations!B22&gt;0.15,"AMBER","RED"))</f>
        <v/>
      </c>
      <c r="F22" s="9">
        <f>KPI_Calculations!C22</f>
        <v/>
      </c>
      <c r="G22" s="19">
        <f>IF(KPI_Calculations!C22&gt;0.2,"GREEN",IF(KPI_Calculations!C22&gt;0.12,"AMBER","RED"))</f>
        <v/>
      </c>
      <c r="H22" s="9">
        <f>KPI_Calculations!D22</f>
        <v/>
      </c>
      <c r="I22" s="19">
        <f>IF(KPI_Calculations!D22&gt;0.05,"GREEN",IF(KPI_Calculations!D22&gt;0.02,"AMBER","RED"))</f>
        <v/>
      </c>
      <c r="J22" s="9">
        <f>KPI_Calculations!M22</f>
        <v/>
      </c>
      <c r="K22" s="19">
        <f>IF(KPI_Calculations!M22&gt;0.05,"GREEN",IF(KPI_Calculations!M22&gt;0.03,"AMBER","RED"))</f>
        <v/>
      </c>
      <c r="L22" s="9">
        <f>KPI_Calculations!J22</f>
        <v/>
      </c>
      <c r="M22" s="19">
        <f>IF(KPI_Calculations!J22&gt;0.15,"GREEN",IF(KPI_Calculations!J22&gt;0.1,"AMBER","RED"))</f>
        <v/>
      </c>
      <c r="N22" s="11">
        <f>KPI_Calculations!L22</f>
        <v/>
      </c>
      <c r="O22" s="19">
        <f>IF(KPI_Calculations!L22&gt;80,"GREEN",IF(KPI_Calculations!L22&gt;30,"AMBER","RED"))</f>
        <v/>
      </c>
      <c r="P22" s="11">
        <f>KPI_Calculations!P22</f>
        <v/>
      </c>
      <c r="Q22" s="11">
        <f>KPI_Calculations!R22</f>
        <v/>
      </c>
    </row>
    <row r="23">
      <c r="A23" s="20">
        <f>RANK(KPI_Calculations!B23,KPI_Calculations!B$2:KPI_Calculations!B$30,0)</f>
        <v/>
      </c>
      <c r="B23" s="21">
        <f>KPI_Calculations!A23</f>
        <v/>
      </c>
      <c r="C23" s="30" t="inlineStr">
        <is>
          <t>Star Branch</t>
        </is>
      </c>
      <c r="D23" s="13">
        <f>KPI_Calculations!B23</f>
        <v/>
      </c>
      <c r="E23" s="23">
        <f>IF(KPI_Calculations!B23&gt;0.25,"GREEN",IF(KPI_Calculations!B23&gt;0.15,"AMBER","RED"))</f>
        <v/>
      </c>
      <c r="F23" s="13">
        <f>KPI_Calculations!C23</f>
        <v/>
      </c>
      <c r="G23" s="23">
        <f>IF(KPI_Calculations!C23&gt;0.2,"GREEN",IF(KPI_Calculations!C23&gt;0.12,"AMBER","RED"))</f>
        <v/>
      </c>
      <c r="H23" s="13">
        <f>KPI_Calculations!D23</f>
        <v/>
      </c>
      <c r="I23" s="23">
        <f>IF(KPI_Calculations!D23&gt;0.05,"GREEN",IF(KPI_Calculations!D23&gt;0.02,"AMBER","RED"))</f>
        <v/>
      </c>
      <c r="J23" s="13">
        <f>KPI_Calculations!M23</f>
        <v/>
      </c>
      <c r="K23" s="23">
        <f>IF(KPI_Calculations!M23&gt;0.05,"GREEN",IF(KPI_Calculations!M23&gt;0.03,"AMBER","RED"))</f>
        <v/>
      </c>
      <c r="L23" s="13">
        <f>KPI_Calculations!J23</f>
        <v/>
      </c>
      <c r="M23" s="23">
        <f>IF(KPI_Calculations!J23&gt;0.15,"GREEN",IF(KPI_Calculations!J23&gt;0.1,"AMBER","RED"))</f>
        <v/>
      </c>
      <c r="N23" s="15">
        <f>KPI_Calculations!L23</f>
        <v/>
      </c>
      <c r="O23" s="23">
        <f>IF(KPI_Calculations!L23&gt;80,"GREEN",IF(KPI_Calculations!L23&gt;30,"AMBER","RED"))</f>
        <v/>
      </c>
      <c r="P23" s="15">
        <f>KPI_Calculations!P23</f>
        <v/>
      </c>
      <c r="Q23" s="15">
        <f>KPI_Calculations!R23</f>
        <v/>
      </c>
    </row>
    <row r="24">
      <c r="A24" s="16">
        <f>RANK(KPI_Calculations!B24,KPI_Calculations!B$2:KPI_Calculations!B$30,0)</f>
        <v/>
      </c>
      <c r="B24" s="17">
        <f>KPI_Calculations!A24</f>
        <v/>
      </c>
      <c r="C24" s="30" t="inlineStr">
        <is>
          <t>Star Branch</t>
        </is>
      </c>
      <c r="D24" s="9">
        <f>KPI_Calculations!B24</f>
        <v/>
      </c>
      <c r="E24" s="19">
        <f>IF(KPI_Calculations!B24&gt;0.25,"GREEN",IF(KPI_Calculations!B24&gt;0.15,"AMBER","RED"))</f>
        <v/>
      </c>
      <c r="F24" s="9">
        <f>KPI_Calculations!C24</f>
        <v/>
      </c>
      <c r="G24" s="19">
        <f>IF(KPI_Calculations!C24&gt;0.2,"GREEN",IF(KPI_Calculations!C24&gt;0.12,"AMBER","RED"))</f>
        <v/>
      </c>
      <c r="H24" s="9">
        <f>KPI_Calculations!D24</f>
        <v/>
      </c>
      <c r="I24" s="19">
        <f>IF(KPI_Calculations!D24&gt;0.05,"GREEN",IF(KPI_Calculations!D24&gt;0.02,"AMBER","RED"))</f>
        <v/>
      </c>
      <c r="J24" s="9">
        <f>KPI_Calculations!M24</f>
        <v/>
      </c>
      <c r="K24" s="19">
        <f>IF(KPI_Calculations!M24&gt;0.05,"GREEN",IF(KPI_Calculations!M24&gt;0.03,"AMBER","RED"))</f>
        <v/>
      </c>
      <c r="L24" s="9">
        <f>KPI_Calculations!J24</f>
        <v/>
      </c>
      <c r="M24" s="19">
        <f>IF(KPI_Calculations!J24&gt;0.15,"GREEN",IF(KPI_Calculations!J24&gt;0.1,"AMBER","RED"))</f>
        <v/>
      </c>
      <c r="N24" s="11">
        <f>KPI_Calculations!L24</f>
        <v/>
      </c>
      <c r="O24" s="19">
        <f>IF(KPI_Calculations!L24&gt;80,"GREEN",IF(KPI_Calculations!L24&gt;30,"AMBER","RED"))</f>
        <v/>
      </c>
      <c r="P24" s="11">
        <f>KPI_Calculations!P24</f>
        <v/>
      </c>
      <c r="Q24" s="11">
        <f>KPI_Calculations!R24</f>
        <v/>
      </c>
    </row>
    <row r="25">
      <c r="A25" s="20">
        <f>RANK(KPI_Calculations!B25,KPI_Calculations!B$2:KPI_Calculations!B$30,0)</f>
        <v/>
      </c>
      <c r="B25" s="21">
        <f>KPI_Calculations!A25</f>
        <v/>
      </c>
      <c r="C25" s="24" t="inlineStr">
        <is>
          <t>Growth Engine</t>
        </is>
      </c>
      <c r="D25" s="13">
        <f>KPI_Calculations!B25</f>
        <v/>
      </c>
      <c r="E25" s="23">
        <f>IF(KPI_Calculations!B25&gt;0.25,"GREEN",IF(KPI_Calculations!B25&gt;0.15,"AMBER","RED"))</f>
        <v/>
      </c>
      <c r="F25" s="13">
        <f>KPI_Calculations!C25</f>
        <v/>
      </c>
      <c r="G25" s="23">
        <f>IF(KPI_Calculations!C25&gt;0.2,"GREEN",IF(KPI_Calculations!C25&gt;0.12,"AMBER","RED"))</f>
        <v/>
      </c>
      <c r="H25" s="13">
        <f>KPI_Calculations!D25</f>
        <v/>
      </c>
      <c r="I25" s="23">
        <f>IF(KPI_Calculations!D25&gt;0.05,"GREEN",IF(KPI_Calculations!D25&gt;0.02,"AMBER","RED"))</f>
        <v/>
      </c>
      <c r="J25" s="13">
        <f>KPI_Calculations!M25</f>
        <v/>
      </c>
      <c r="K25" s="23">
        <f>IF(KPI_Calculations!M25&gt;0.05,"GREEN",IF(KPI_Calculations!M25&gt;0.03,"AMBER","RED"))</f>
        <v/>
      </c>
      <c r="L25" s="13">
        <f>KPI_Calculations!J25</f>
        <v/>
      </c>
      <c r="M25" s="23">
        <f>IF(KPI_Calculations!J25&gt;0.15,"GREEN",IF(KPI_Calculations!J25&gt;0.1,"AMBER","RED"))</f>
        <v/>
      </c>
      <c r="N25" s="15">
        <f>KPI_Calculations!L25</f>
        <v/>
      </c>
      <c r="O25" s="23">
        <f>IF(KPI_Calculations!L25&gt;80,"GREEN",IF(KPI_Calculations!L25&gt;30,"AMBER","RED"))</f>
        <v/>
      </c>
      <c r="P25" s="15">
        <f>KPI_Calculations!P25</f>
        <v/>
      </c>
      <c r="Q25" s="15">
        <f>KPI_Calculations!R25</f>
        <v/>
      </c>
    </row>
    <row r="26">
      <c r="A26" s="16">
        <f>RANK(KPI_Calculations!B26,KPI_Calculations!B$2:KPI_Calculations!B$30,0)</f>
        <v/>
      </c>
      <c r="B26" s="17">
        <f>KPI_Calculations!A26</f>
        <v/>
      </c>
      <c r="C26" s="28" t="inlineStr">
        <is>
          <t>Structural Outlier</t>
        </is>
      </c>
      <c r="D26" s="9">
        <f>KPI_Calculations!B26</f>
        <v/>
      </c>
      <c r="E26" s="19">
        <f>IF(KPI_Calculations!B26&gt;0.25,"GREEN",IF(KPI_Calculations!B26&gt;0.15,"AMBER","RED"))</f>
        <v/>
      </c>
      <c r="F26" s="9">
        <f>KPI_Calculations!C26</f>
        <v/>
      </c>
      <c r="G26" s="19">
        <f>IF(KPI_Calculations!C26&gt;0.2,"GREEN",IF(KPI_Calculations!C26&gt;0.12,"AMBER","RED"))</f>
        <v/>
      </c>
      <c r="H26" s="9">
        <f>KPI_Calculations!D26</f>
        <v/>
      </c>
      <c r="I26" s="19">
        <f>IF(KPI_Calculations!D26&gt;0.05,"GREEN",IF(KPI_Calculations!D26&gt;0.02,"AMBER","RED"))</f>
        <v/>
      </c>
      <c r="J26" s="9">
        <f>KPI_Calculations!M26</f>
        <v/>
      </c>
      <c r="K26" s="19">
        <f>IF(KPI_Calculations!M26&gt;0.05,"GREEN",IF(KPI_Calculations!M26&gt;0.03,"AMBER","RED"))</f>
        <v/>
      </c>
      <c r="L26" s="9">
        <f>KPI_Calculations!J26</f>
        <v/>
      </c>
      <c r="M26" s="19">
        <f>IF(KPI_Calculations!J26&gt;0.15,"GREEN",IF(KPI_Calculations!J26&gt;0.1,"AMBER","RED"))</f>
        <v/>
      </c>
      <c r="N26" s="11">
        <f>KPI_Calculations!L26</f>
        <v/>
      </c>
      <c r="O26" s="19">
        <f>IF(KPI_Calculations!L26&gt;80,"GREEN",IF(KPI_Calculations!L26&gt;30,"AMBER","RED"))</f>
        <v/>
      </c>
      <c r="P26" s="11">
        <f>KPI_Calculations!P26</f>
        <v/>
      </c>
      <c r="Q26" s="11">
        <f>KPI_Calculations!R26</f>
        <v/>
      </c>
    </row>
    <row r="27">
      <c r="A27" s="20">
        <f>RANK(KPI_Calculations!B27,KPI_Calculations!B$2:KPI_Calculations!B$30,0)</f>
        <v/>
      </c>
      <c r="B27" s="21">
        <f>KPI_Calculations!A27</f>
        <v/>
      </c>
      <c r="C27" s="30" t="inlineStr">
        <is>
          <t>Star Branch</t>
        </is>
      </c>
      <c r="D27" s="13">
        <f>KPI_Calculations!B27</f>
        <v/>
      </c>
      <c r="E27" s="23">
        <f>IF(KPI_Calculations!B27&gt;0.25,"GREEN",IF(KPI_Calculations!B27&gt;0.15,"AMBER","RED"))</f>
        <v/>
      </c>
      <c r="F27" s="13">
        <f>KPI_Calculations!C27</f>
        <v/>
      </c>
      <c r="G27" s="23">
        <f>IF(KPI_Calculations!C27&gt;0.2,"GREEN",IF(KPI_Calculations!C27&gt;0.12,"AMBER","RED"))</f>
        <v/>
      </c>
      <c r="H27" s="13">
        <f>KPI_Calculations!D27</f>
        <v/>
      </c>
      <c r="I27" s="23">
        <f>IF(KPI_Calculations!D27&gt;0.05,"GREEN",IF(KPI_Calculations!D27&gt;0.02,"AMBER","RED"))</f>
        <v/>
      </c>
      <c r="J27" s="13">
        <f>KPI_Calculations!M27</f>
        <v/>
      </c>
      <c r="K27" s="23">
        <f>IF(KPI_Calculations!M27&gt;0.05,"GREEN",IF(KPI_Calculations!M27&gt;0.03,"AMBER","RED"))</f>
        <v/>
      </c>
      <c r="L27" s="13">
        <f>KPI_Calculations!J27</f>
        <v/>
      </c>
      <c r="M27" s="23">
        <f>IF(KPI_Calculations!J27&gt;0.15,"GREEN",IF(KPI_Calculations!J27&gt;0.1,"AMBER","RED"))</f>
        <v/>
      </c>
      <c r="N27" s="15">
        <f>KPI_Calculations!L27</f>
        <v/>
      </c>
      <c r="O27" s="23">
        <f>IF(KPI_Calculations!L27&gt;80,"GREEN",IF(KPI_Calculations!L27&gt;30,"AMBER","RED"))</f>
        <v/>
      </c>
      <c r="P27" s="15">
        <f>KPI_Calculations!P27</f>
        <v/>
      </c>
      <c r="Q27" s="15">
        <f>KPI_Calculations!R27</f>
        <v/>
      </c>
    </row>
    <row r="28">
      <c r="A28" s="16">
        <f>RANK(KPI_Calculations!B28,KPI_Calculations!B$2:KPI_Calculations!B$30,0)</f>
        <v/>
      </c>
      <c r="B28" s="17">
        <f>KPI_Calculations!A28</f>
        <v/>
      </c>
      <c r="C28" s="28" t="inlineStr">
        <is>
          <t>Structural Outlier</t>
        </is>
      </c>
      <c r="D28" s="9">
        <f>KPI_Calculations!B28</f>
        <v/>
      </c>
      <c r="E28" s="19">
        <f>IF(KPI_Calculations!B28&gt;0.25,"GREEN",IF(KPI_Calculations!B28&gt;0.15,"AMBER","RED"))</f>
        <v/>
      </c>
      <c r="F28" s="9">
        <f>KPI_Calculations!C28</f>
        <v/>
      </c>
      <c r="G28" s="19">
        <f>IF(KPI_Calculations!C28&gt;0.2,"GREEN",IF(KPI_Calculations!C28&gt;0.12,"AMBER","RED"))</f>
        <v/>
      </c>
      <c r="H28" s="9">
        <f>KPI_Calculations!D28</f>
        <v/>
      </c>
      <c r="I28" s="19">
        <f>IF(KPI_Calculations!D28&gt;0.05,"GREEN",IF(KPI_Calculations!D28&gt;0.02,"AMBER","RED"))</f>
        <v/>
      </c>
      <c r="J28" s="9">
        <f>KPI_Calculations!M28</f>
        <v/>
      </c>
      <c r="K28" s="19">
        <f>IF(KPI_Calculations!M28&gt;0.05,"GREEN",IF(KPI_Calculations!M28&gt;0.03,"AMBER","RED"))</f>
        <v/>
      </c>
      <c r="L28" s="9">
        <f>KPI_Calculations!J28</f>
        <v/>
      </c>
      <c r="M28" s="19">
        <f>IF(KPI_Calculations!J28&gt;0.15,"GREEN",IF(KPI_Calculations!J28&gt;0.1,"AMBER","RED"))</f>
        <v/>
      </c>
      <c r="N28" s="11">
        <f>KPI_Calculations!L28</f>
        <v/>
      </c>
      <c r="O28" s="19">
        <f>IF(KPI_Calculations!L28&gt;80,"GREEN",IF(KPI_Calculations!L28&gt;30,"AMBER","RED"))</f>
        <v/>
      </c>
      <c r="P28" s="11">
        <f>KPI_Calculations!P28</f>
        <v/>
      </c>
      <c r="Q28" s="11">
        <f>KPI_Calculations!R28</f>
        <v/>
      </c>
    </row>
    <row r="29">
      <c r="A29" s="20">
        <f>RANK(KPI_Calculations!B29,KPI_Calculations!B$2:KPI_Calculations!B$30,0)</f>
        <v/>
      </c>
      <c r="B29" s="21">
        <f>KPI_Calculations!A29</f>
        <v/>
      </c>
      <c r="C29" s="31" t="inlineStr">
        <is>
          <t>Nascent Entry</t>
        </is>
      </c>
      <c r="D29" s="13">
        <f>KPI_Calculations!B29</f>
        <v/>
      </c>
      <c r="E29" s="23">
        <f>IF(KPI_Calculations!B29&gt;0.25,"GREEN",IF(KPI_Calculations!B29&gt;0.15,"AMBER","RED"))</f>
        <v/>
      </c>
      <c r="F29" s="13">
        <f>KPI_Calculations!C29</f>
        <v/>
      </c>
      <c r="G29" s="23">
        <f>IF(KPI_Calculations!C29&gt;0.2,"GREEN",IF(KPI_Calculations!C29&gt;0.12,"AMBER","RED"))</f>
        <v/>
      </c>
      <c r="H29" s="13">
        <f>KPI_Calculations!D29</f>
        <v/>
      </c>
      <c r="I29" s="23">
        <f>IF(KPI_Calculations!D29&gt;0.05,"GREEN",IF(KPI_Calculations!D29&gt;0.02,"AMBER","RED"))</f>
        <v/>
      </c>
      <c r="J29" s="13">
        <f>KPI_Calculations!M29</f>
        <v/>
      </c>
      <c r="K29" s="23">
        <f>IF(KPI_Calculations!M29&gt;0.05,"GREEN",IF(KPI_Calculations!M29&gt;0.03,"AMBER","RED"))</f>
        <v/>
      </c>
      <c r="L29" s="13">
        <f>KPI_Calculations!J29</f>
        <v/>
      </c>
      <c r="M29" s="23">
        <f>IF(KPI_Calculations!J29&gt;0.15,"GREEN",IF(KPI_Calculations!J29&gt;0.1,"AMBER","RED"))</f>
        <v/>
      </c>
      <c r="N29" s="15">
        <f>KPI_Calculations!L29</f>
        <v/>
      </c>
      <c r="O29" s="23">
        <f>IF(KPI_Calculations!L29&gt;80,"GREEN",IF(KPI_Calculations!L29&gt;30,"AMBER","RED"))</f>
        <v/>
      </c>
      <c r="P29" s="15">
        <f>KPI_Calculations!P29</f>
        <v/>
      </c>
      <c r="Q29" s="15">
        <f>KPI_Calculations!R29</f>
        <v/>
      </c>
    </row>
    <row r="30">
      <c r="A30" s="16">
        <f>RANK(KPI_Calculations!B30,KPI_Calculations!B$2:KPI_Calculations!B$30,0)</f>
        <v/>
      </c>
      <c r="B30" s="17">
        <f>KPI_Calculations!A30</f>
        <v/>
      </c>
      <c r="C30" s="31" t="inlineStr">
        <is>
          <t>Nascent Entry</t>
        </is>
      </c>
      <c r="D30" s="9">
        <f>KPI_Calculations!B30</f>
        <v/>
      </c>
      <c r="E30" s="19">
        <f>IF(KPI_Calculations!B30&gt;0.25,"GREEN",IF(KPI_Calculations!B30&gt;0.15,"AMBER","RED"))</f>
        <v/>
      </c>
      <c r="F30" s="9">
        <f>KPI_Calculations!C30</f>
        <v/>
      </c>
      <c r="G30" s="19">
        <f>IF(KPI_Calculations!C30&gt;0.2,"GREEN",IF(KPI_Calculations!C30&gt;0.12,"AMBER","RED"))</f>
        <v/>
      </c>
      <c r="H30" s="9">
        <f>KPI_Calculations!D30</f>
        <v/>
      </c>
      <c r="I30" s="19">
        <f>IF(KPI_Calculations!D30&gt;0.05,"GREEN",IF(KPI_Calculations!D30&gt;0.02,"AMBER","RED"))</f>
        <v/>
      </c>
      <c r="J30" s="9">
        <f>KPI_Calculations!M30</f>
        <v/>
      </c>
      <c r="K30" s="19">
        <f>IF(KPI_Calculations!M30&gt;0.05,"GREEN",IF(KPI_Calculations!M30&gt;0.03,"AMBER","RED"))</f>
        <v/>
      </c>
      <c r="L30" s="9">
        <f>KPI_Calculations!J30</f>
        <v/>
      </c>
      <c r="M30" s="19">
        <f>IF(KPI_Calculations!J30&gt;0.15,"GREEN",IF(KPI_Calculations!J30&gt;0.1,"AMBER","RED"))</f>
        <v/>
      </c>
      <c r="N30" s="11">
        <f>KPI_Calculations!L30</f>
        <v/>
      </c>
      <c r="O30" s="19">
        <f>IF(KPI_Calculations!L30&gt;80,"GREEN",IF(KPI_Calculations!L30&gt;30,"AMBER","RED"))</f>
        <v/>
      </c>
      <c r="P30" s="11">
        <f>KPI_Calculations!P30</f>
        <v/>
      </c>
      <c r="Q30" s="11">
        <f>KPI_Calculations!R30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City</t>
        </is>
      </c>
      <c r="B1" s="1" t="inlineStr">
        <is>
          <t>PI Pen Now</t>
        </is>
      </c>
      <c r="C1" s="1" t="inlineStr">
        <is>
          <t>PI Pen 12M Target</t>
        </is>
      </c>
      <c r="D1" s="1" t="inlineStr">
        <is>
          <t>PI Pen 24M Target</t>
        </is>
      </c>
      <c r="E1" s="1" t="inlineStr">
        <is>
          <t>Biz Pen Now</t>
        </is>
      </c>
      <c r="F1" s="1" t="inlineStr">
        <is>
          <t>Biz Pen 12M Target</t>
        </is>
      </c>
      <c r="G1" s="1" t="inlineStr">
        <is>
          <t>Biz Pen 24M Target</t>
        </is>
      </c>
      <c r="H1" s="1" t="inlineStr">
        <is>
          <t>M-Bank Now</t>
        </is>
      </c>
      <c r="I1" s="1" t="inlineStr">
        <is>
          <t>M-Bank 12M Target</t>
        </is>
      </c>
      <c r="J1" s="1" t="inlineStr">
        <is>
          <t>M-Bank 24M Target</t>
        </is>
      </c>
      <c r="K1" s="1" t="inlineStr">
        <is>
          <t>PI Clients Now</t>
        </is>
      </c>
      <c r="L1" s="1" t="inlineStr">
        <is>
          <t>PI Add 12M</t>
        </is>
      </c>
      <c r="M1" s="1" t="inlineStr">
        <is>
          <t>PI Add 24M</t>
        </is>
      </c>
      <c r="N1" s="1" t="inlineStr">
        <is>
          <t>Biz Now</t>
        </is>
      </c>
      <c r="O1" s="1" t="inlineStr">
        <is>
          <t>Biz Add 12M</t>
        </is>
      </c>
      <c r="P1" s="1" t="inlineStr">
        <is>
          <t>Biz Add 24M</t>
        </is>
      </c>
    </row>
    <row r="2">
      <c r="A2" s="8">
        <f>KPI_Calculations!A2</f>
        <v/>
      </c>
      <c r="B2" s="9">
        <f>KPI_Calculations!B2</f>
        <v/>
      </c>
      <c r="C2" s="9">
        <f>B2+MAX(0.02,MAX(0,(0.20-B2)*0.5))</f>
        <v/>
      </c>
      <c r="D2" s="9">
        <f>B2+MAX(0.04,MAX(0,(0.25-B2)*0.75))</f>
        <v/>
      </c>
      <c r="E2" s="9">
        <f>KPI_Calculations!C2</f>
        <v/>
      </c>
      <c r="F2" s="9">
        <f>E2+MAX(0.02,MAX(0,(0.18-E2)*0.5))</f>
        <v/>
      </c>
      <c r="G2" s="9">
        <f>E2+MAX(0.04,MAX(0,(0.22-E2)*0.75))</f>
        <v/>
      </c>
      <c r="H2" s="9">
        <f>KPI_Calculations!M2</f>
        <v/>
      </c>
      <c r="I2" s="9">
        <f>H2+MAX(0.01,MAX(0,(0.05-H2)*0.5))</f>
        <v/>
      </c>
      <c r="J2" s="9">
        <f>H2+MAX(0.02,MAX(0,(0.08-H2)*0.75))</f>
        <v/>
      </c>
      <c r="K2" s="32">
        <f>Branch_Master_Data!F2</f>
        <v/>
      </c>
      <c r="L2" s="32">
        <f>ROUND(C2*Branch_Master_Data!D2-K2,0)</f>
        <v/>
      </c>
      <c r="M2" s="32">
        <f>ROUND(D2*Branch_Master_Data!D2-K2,0)</f>
        <v/>
      </c>
      <c r="N2" s="32">
        <f>Branch_Master_Data!H2</f>
        <v/>
      </c>
      <c r="O2" s="32">
        <f>ROUND(F2*Branch_Master_Data!E2-N2,0)</f>
        <v/>
      </c>
      <c r="P2" s="32">
        <f>ROUND(G2*Branch_Master_Data!E2-N2,0)</f>
        <v/>
      </c>
    </row>
    <row r="3">
      <c r="A3" s="12">
        <f>KPI_Calculations!A3</f>
        <v/>
      </c>
      <c r="B3" s="13">
        <f>KPI_Calculations!B3</f>
        <v/>
      </c>
      <c r="C3" s="13">
        <f>B3+MAX(0.02,MAX(0,(0.20-B3)*0.5))</f>
        <v/>
      </c>
      <c r="D3" s="13">
        <f>B3+MAX(0.04,MAX(0,(0.25-B3)*0.75))</f>
        <v/>
      </c>
      <c r="E3" s="13">
        <f>KPI_Calculations!C3</f>
        <v/>
      </c>
      <c r="F3" s="13">
        <f>E3+MAX(0.02,MAX(0,(0.18-E3)*0.5))</f>
        <v/>
      </c>
      <c r="G3" s="13">
        <f>E3+MAX(0.04,MAX(0,(0.22-E3)*0.75))</f>
        <v/>
      </c>
      <c r="H3" s="13">
        <f>KPI_Calculations!M3</f>
        <v/>
      </c>
      <c r="I3" s="13">
        <f>H3+MAX(0.01,MAX(0,(0.05-H3)*0.5))</f>
        <v/>
      </c>
      <c r="J3" s="13">
        <f>H3+MAX(0.02,MAX(0,(0.08-H3)*0.75))</f>
        <v/>
      </c>
      <c r="K3" s="33">
        <f>Branch_Master_Data!F3</f>
        <v/>
      </c>
      <c r="L3" s="33">
        <f>ROUND(C3*Branch_Master_Data!D3-K3,0)</f>
        <v/>
      </c>
      <c r="M3" s="33">
        <f>ROUND(D3*Branch_Master_Data!D3-K3,0)</f>
        <v/>
      </c>
      <c r="N3" s="33">
        <f>Branch_Master_Data!H3</f>
        <v/>
      </c>
      <c r="O3" s="33">
        <f>ROUND(F3*Branch_Master_Data!E3-N3,0)</f>
        <v/>
      </c>
      <c r="P3" s="33">
        <f>ROUND(G3*Branch_Master_Data!E3-N3,0)</f>
        <v/>
      </c>
    </row>
    <row r="4">
      <c r="A4" s="8">
        <f>KPI_Calculations!A4</f>
        <v/>
      </c>
      <c r="B4" s="9">
        <f>KPI_Calculations!B4</f>
        <v/>
      </c>
      <c r="C4" s="9">
        <f>B4+MAX(0.02,MAX(0,(0.20-B4)*0.5))</f>
        <v/>
      </c>
      <c r="D4" s="9">
        <f>B4+MAX(0.04,MAX(0,(0.25-B4)*0.75))</f>
        <v/>
      </c>
      <c r="E4" s="9">
        <f>KPI_Calculations!C4</f>
        <v/>
      </c>
      <c r="F4" s="9">
        <f>E4+MAX(0.02,MAX(0,(0.18-E4)*0.5))</f>
        <v/>
      </c>
      <c r="G4" s="9">
        <f>E4+MAX(0.04,MAX(0,(0.22-E4)*0.75))</f>
        <v/>
      </c>
      <c r="H4" s="9">
        <f>KPI_Calculations!M4</f>
        <v/>
      </c>
      <c r="I4" s="9">
        <f>H4+MAX(0.01,MAX(0,(0.05-H4)*0.5))</f>
        <v/>
      </c>
      <c r="J4" s="9">
        <f>H4+MAX(0.02,MAX(0,(0.08-H4)*0.75))</f>
        <v/>
      </c>
      <c r="K4" s="32">
        <f>Branch_Master_Data!F4</f>
        <v/>
      </c>
      <c r="L4" s="32">
        <f>ROUND(C4*Branch_Master_Data!D4-K4,0)</f>
        <v/>
      </c>
      <c r="M4" s="32">
        <f>ROUND(D4*Branch_Master_Data!D4-K4,0)</f>
        <v/>
      </c>
      <c r="N4" s="32">
        <f>Branch_Master_Data!H4</f>
        <v/>
      </c>
      <c r="O4" s="32">
        <f>ROUND(F4*Branch_Master_Data!E4-N4,0)</f>
        <v/>
      </c>
      <c r="P4" s="32">
        <f>ROUND(G4*Branch_Master_Data!E4-N4,0)</f>
        <v/>
      </c>
    </row>
    <row r="5">
      <c r="A5" s="12">
        <f>KPI_Calculations!A5</f>
        <v/>
      </c>
      <c r="B5" s="13">
        <f>KPI_Calculations!B5</f>
        <v/>
      </c>
      <c r="C5" s="13">
        <f>B5+MAX(0.02,MAX(0,(0.20-B5)*0.5))</f>
        <v/>
      </c>
      <c r="D5" s="13">
        <f>B5+MAX(0.04,MAX(0,(0.25-B5)*0.75))</f>
        <v/>
      </c>
      <c r="E5" s="13">
        <f>KPI_Calculations!C5</f>
        <v/>
      </c>
      <c r="F5" s="13">
        <f>E5+MAX(0.02,MAX(0,(0.18-E5)*0.5))</f>
        <v/>
      </c>
      <c r="G5" s="13">
        <f>E5+MAX(0.04,MAX(0,(0.22-E5)*0.75))</f>
        <v/>
      </c>
      <c r="H5" s="13">
        <f>KPI_Calculations!M5</f>
        <v/>
      </c>
      <c r="I5" s="13">
        <f>H5+MAX(0.01,MAX(0,(0.05-H5)*0.5))</f>
        <v/>
      </c>
      <c r="J5" s="13">
        <f>H5+MAX(0.02,MAX(0,(0.08-H5)*0.75))</f>
        <v/>
      </c>
      <c r="K5" s="33">
        <f>Branch_Master_Data!F5</f>
        <v/>
      </c>
      <c r="L5" s="33">
        <f>ROUND(C5*Branch_Master_Data!D5-K5,0)</f>
        <v/>
      </c>
      <c r="M5" s="33">
        <f>ROUND(D5*Branch_Master_Data!D5-K5,0)</f>
        <v/>
      </c>
      <c r="N5" s="33">
        <f>Branch_Master_Data!H5</f>
        <v/>
      </c>
      <c r="O5" s="33">
        <f>ROUND(F5*Branch_Master_Data!E5-N5,0)</f>
        <v/>
      </c>
      <c r="P5" s="33">
        <f>ROUND(G5*Branch_Master_Data!E5-N5,0)</f>
        <v/>
      </c>
    </row>
    <row r="6">
      <c r="A6" s="8">
        <f>KPI_Calculations!A6</f>
        <v/>
      </c>
      <c r="B6" s="9">
        <f>KPI_Calculations!B6</f>
        <v/>
      </c>
      <c r="C6" s="9">
        <f>B6+MAX(0.02,MAX(0,(0.20-B6)*0.5))</f>
        <v/>
      </c>
      <c r="D6" s="9">
        <f>B6+MAX(0.04,MAX(0,(0.25-B6)*0.75))</f>
        <v/>
      </c>
      <c r="E6" s="9">
        <f>KPI_Calculations!C6</f>
        <v/>
      </c>
      <c r="F6" s="9">
        <f>E6+MAX(0.02,MAX(0,(0.18-E6)*0.5))</f>
        <v/>
      </c>
      <c r="G6" s="9">
        <f>E6+MAX(0.04,MAX(0,(0.22-E6)*0.75))</f>
        <v/>
      </c>
      <c r="H6" s="9">
        <f>KPI_Calculations!M6</f>
        <v/>
      </c>
      <c r="I6" s="9">
        <f>H6+MAX(0.01,MAX(0,(0.05-H6)*0.5))</f>
        <v/>
      </c>
      <c r="J6" s="9">
        <f>H6+MAX(0.02,MAX(0,(0.08-H6)*0.75))</f>
        <v/>
      </c>
      <c r="K6" s="32">
        <f>Branch_Master_Data!F6</f>
        <v/>
      </c>
      <c r="L6" s="32">
        <f>ROUND(C6*Branch_Master_Data!D6-K6,0)</f>
        <v/>
      </c>
      <c r="M6" s="32">
        <f>ROUND(D6*Branch_Master_Data!D6-K6,0)</f>
        <v/>
      </c>
      <c r="N6" s="32">
        <f>Branch_Master_Data!H6</f>
        <v/>
      </c>
      <c r="O6" s="32">
        <f>ROUND(F6*Branch_Master_Data!E6-N6,0)</f>
        <v/>
      </c>
      <c r="P6" s="32">
        <f>ROUND(G6*Branch_Master_Data!E6-N6,0)</f>
        <v/>
      </c>
    </row>
    <row r="7">
      <c r="A7" s="12">
        <f>KPI_Calculations!A7</f>
        <v/>
      </c>
      <c r="B7" s="13">
        <f>KPI_Calculations!B7</f>
        <v/>
      </c>
      <c r="C7" s="13">
        <f>B7+MAX(0.02,MAX(0,(0.20-B7)*0.5))</f>
        <v/>
      </c>
      <c r="D7" s="13">
        <f>B7+MAX(0.04,MAX(0,(0.25-B7)*0.75))</f>
        <v/>
      </c>
      <c r="E7" s="13">
        <f>KPI_Calculations!C7</f>
        <v/>
      </c>
      <c r="F7" s="13">
        <f>E7+MAX(0.02,MAX(0,(0.18-E7)*0.5))</f>
        <v/>
      </c>
      <c r="G7" s="13">
        <f>E7+MAX(0.04,MAX(0,(0.22-E7)*0.75))</f>
        <v/>
      </c>
      <c r="H7" s="13">
        <f>KPI_Calculations!M7</f>
        <v/>
      </c>
      <c r="I7" s="13">
        <f>H7+MAX(0.01,MAX(0,(0.05-H7)*0.5))</f>
        <v/>
      </c>
      <c r="J7" s="13">
        <f>H7+MAX(0.02,MAX(0,(0.08-H7)*0.75))</f>
        <v/>
      </c>
      <c r="K7" s="33">
        <f>Branch_Master_Data!F7</f>
        <v/>
      </c>
      <c r="L7" s="33">
        <f>ROUND(C7*Branch_Master_Data!D7-K7,0)</f>
        <v/>
      </c>
      <c r="M7" s="33">
        <f>ROUND(D7*Branch_Master_Data!D7-K7,0)</f>
        <v/>
      </c>
      <c r="N7" s="33">
        <f>Branch_Master_Data!H7</f>
        <v/>
      </c>
      <c r="O7" s="33">
        <f>ROUND(F7*Branch_Master_Data!E7-N7,0)</f>
        <v/>
      </c>
      <c r="P7" s="33">
        <f>ROUND(G7*Branch_Master_Data!E7-N7,0)</f>
        <v/>
      </c>
    </row>
    <row r="8">
      <c r="A8" s="8">
        <f>KPI_Calculations!A8</f>
        <v/>
      </c>
      <c r="B8" s="9">
        <f>KPI_Calculations!B8</f>
        <v/>
      </c>
      <c r="C8" s="9">
        <f>B8+MAX(0.02,MAX(0,(0.20-B8)*0.5))</f>
        <v/>
      </c>
      <c r="D8" s="9">
        <f>B8+MAX(0.04,MAX(0,(0.25-B8)*0.75))</f>
        <v/>
      </c>
      <c r="E8" s="9">
        <f>KPI_Calculations!C8</f>
        <v/>
      </c>
      <c r="F8" s="9">
        <f>E8+MAX(0.02,MAX(0,(0.18-E8)*0.5))</f>
        <v/>
      </c>
      <c r="G8" s="9">
        <f>E8+MAX(0.04,MAX(0,(0.22-E8)*0.75))</f>
        <v/>
      </c>
      <c r="H8" s="9">
        <f>KPI_Calculations!M8</f>
        <v/>
      </c>
      <c r="I8" s="9">
        <f>H8+MAX(0.01,MAX(0,(0.05-H8)*0.5))</f>
        <v/>
      </c>
      <c r="J8" s="9">
        <f>H8+MAX(0.02,MAX(0,(0.08-H8)*0.75))</f>
        <v/>
      </c>
      <c r="K8" s="32">
        <f>Branch_Master_Data!F8</f>
        <v/>
      </c>
      <c r="L8" s="32">
        <f>ROUND(C8*Branch_Master_Data!D8-K8,0)</f>
        <v/>
      </c>
      <c r="M8" s="32">
        <f>ROUND(D8*Branch_Master_Data!D8-K8,0)</f>
        <v/>
      </c>
      <c r="N8" s="32">
        <f>Branch_Master_Data!H8</f>
        <v/>
      </c>
      <c r="O8" s="32">
        <f>ROUND(F8*Branch_Master_Data!E8-N8,0)</f>
        <v/>
      </c>
      <c r="P8" s="32">
        <f>ROUND(G8*Branch_Master_Data!E8-N8,0)</f>
        <v/>
      </c>
    </row>
    <row r="9">
      <c r="A9" s="12">
        <f>KPI_Calculations!A9</f>
        <v/>
      </c>
      <c r="B9" s="13">
        <f>KPI_Calculations!B9</f>
        <v/>
      </c>
      <c r="C9" s="13">
        <f>B9+MAX(0.02,MAX(0,(0.20-B9)*0.5))</f>
        <v/>
      </c>
      <c r="D9" s="13">
        <f>B9+MAX(0.04,MAX(0,(0.25-B9)*0.75))</f>
        <v/>
      </c>
      <c r="E9" s="13">
        <f>KPI_Calculations!C9</f>
        <v/>
      </c>
      <c r="F9" s="13">
        <f>E9+MAX(0.02,MAX(0,(0.18-E9)*0.5))</f>
        <v/>
      </c>
      <c r="G9" s="13">
        <f>E9+MAX(0.04,MAX(0,(0.22-E9)*0.75))</f>
        <v/>
      </c>
      <c r="H9" s="13">
        <f>KPI_Calculations!M9</f>
        <v/>
      </c>
      <c r="I9" s="13">
        <f>H9+MAX(0.01,MAX(0,(0.05-H9)*0.5))</f>
        <v/>
      </c>
      <c r="J9" s="13">
        <f>H9+MAX(0.02,MAX(0,(0.08-H9)*0.75))</f>
        <v/>
      </c>
      <c r="K9" s="33">
        <f>Branch_Master_Data!F9</f>
        <v/>
      </c>
      <c r="L9" s="33">
        <f>ROUND(C9*Branch_Master_Data!D9-K9,0)</f>
        <v/>
      </c>
      <c r="M9" s="33">
        <f>ROUND(D9*Branch_Master_Data!D9-K9,0)</f>
        <v/>
      </c>
      <c r="N9" s="33">
        <f>Branch_Master_Data!H9</f>
        <v/>
      </c>
      <c r="O9" s="33">
        <f>ROUND(F9*Branch_Master_Data!E9-N9,0)</f>
        <v/>
      </c>
      <c r="P9" s="33">
        <f>ROUND(G9*Branch_Master_Data!E9-N9,0)</f>
        <v/>
      </c>
    </row>
    <row r="10">
      <c r="A10" s="8">
        <f>KPI_Calculations!A10</f>
        <v/>
      </c>
      <c r="B10" s="9">
        <f>KPI_Calculations!B10</f>
        <v/>
      </c>
      <c r="C10" s="9">
        <f>B10+MAX(0.02,MAX(0,(0.20-B10)*0.5))</f>
        <v/>
      </c>
      <c r="D10" s="9">
        <f>B10+MAX(0.04,MAX(0,(0.25-B10)*0.75))</f>
        <v/>
      </c>
      <c r="E10" s="9">
        <f>KPI_Calculations!C10</f>
        <v/>
      </c>
      <c r="F10" s="9">
        <f>E10+MAX(0.02,MAX(0,(0.18-E10)*0.5))</f>
        <v/>
      </c>
      <c r="G10" s="9">
        <f>E10+MAX(0.04,MAX(0,(0.22-E10)*0.75))</f>
        <v/>
      </c>
      <c r="H10" s="9">
        <f>KPI_Calculations!M10</f>
        <v/>
      </c>
      <c r="I10" s="9">
        <f>H10+MAX(0.01,MAX(0,(0.05-H10)*0.5))</f>
        <v/>
      </c>
      <c r="J10" s="9">
        <f>H10+MAX(0.02,MAX(0,(0.08-H10)*0.75))</f>
        <v/>
      </c>
      <c r="K10" s="32">
        <f>Branch_Master_Data!F10</f>
        <v/>
      </c>
      <c r="L10" s="32">
        <f>ROUND(C10*Branch_Master_Data!D10-K10,0)</f>
        <v/>
      </c>
      <c r="M10" s="32">
        <f>ROUND(D10*Branch_Master_Data!D10-K10,0)</f>
        <v/>
      </c>
      <c r="N10" s="32">
        <f>Branch_Master_Data!H10</f>
        <v/>
      </c>
      <c r="O10" s="32">
        <f>ROUND(F10*Branch_Master_Data!E10-N10,0)</f>
        <v/>
      </c>
      <c r="P10" s="32">
        <f>ROUND(G10*Branch_Master_Data!E10-N10,0)</f>
        <v/>
      </c>
    </row>
    <row r="11">
      <c r="A11" s="12">
        <f>KPI_Calculations!A11</f>
        <v/>
      </c>
      <c r="B11" s="13">
        <f>KPI_Calculations!B11</f>
        <v/>
      </c>
      <c r="C11" s="13">
        <f>B11+MAX(0.02,MAX(0,(0.20-B11)*0.5))</f>
        <v/>
      </c>
      <c r="D11" s="13">
        <f>B11+MAX(0.04,MAX(0,(0.25-B11)*0.75))</f>
        <v/>
      </c>
      <c r="E11" s="13">
        <f>KPI_Calculations!C11</f>
        <v/>
      </c>
      <c r="F11" s="13">
        <f>E11+MAX(0.02,MAX(0,(0.18-E11)*0.5))</f>
        <v/>
      </c>
      <c r="G11" s="13">
        <f>E11+MAX(0.04,MAX(0,(0.22-E11)*0.75))</f>
        <v/>
      </c>
      <c r="H11" s="13">
        <f>KPI_Calculations!M11</f>
        <v/>
      </c>
      <c r="I11" s="13">
        <f>H11+MAX(0.01,MAX(0,(0.05-H11)*0.5))</f>
        <v/>
      </c>
      <c r="J11" s="13">
        <f>H11+MAX(0.02,MAX(0,(0.08-H11)*0.75))</f>
        <v/>
      </c>
      <c r="K11" s="33">
        <f>Branch_Master_Data!F11</f>
        <v/>
      </c>
      <c r="L11" s="33">
        <f>ROUND(C11*Branch_Master_Data!D11-K11,0)</f>
        <v/>
      </c>
      <c r="M11" s="33">
        <f>ROUND(D11*Branch_Master_Data!D11-K11,0)</f>
        <v/>
      </c>
      <c r="N11" s="33">
        <f>Branch_Master_Data!H11</f>
        <v/>
      </c>
      <c r="O11" s="33">
        <f>ROUND(F11*Branch_Master_Data!E11-N11,0)</f>
        <v/>
      </c>
      <c r="P11" s="33">
        <f>ROUND(G11*Branch_Master_Data!E11-N11,0)</f>
        <v/>
      </c>
    </row>
    <row r="12">
      <c r="A12" s="8">
        <f>KPI_Calculations!A12</f>
        <v/>
      </c>
      <c r="B12" s="9">
        <f>KPI_Calculations!B12</f>
        <v/>
      </c>
      <c r="C12" s="9">
        <f>B12+MAX(0.02,MAX(0,(0.20-B12)*0.5))</f>
        <v/>
      </c>
      <c r="D12" s="9">
        <f>B12+MAX(0.04,MAX(0,(0.25-B12)*0.75))</f>
        <v/>
      </c>
      <c r="E12" s="9">
        <f>KPI_Calculations!C12</f>
        <v/>
      </c>
      <c r="F12" s="9">
        <f>E12+MAX(0.02,MAX(0,(0.18-E12)*0.5))</f>
        <v/>
      </c>
      <c r="G12" s="9">
        <f>E12+MAX(0.04,MAX(0,(0.22-E12)*0.75))</f>
        <v/>
      </c>
      <c r="H12" s="9">
        <f>KPI_Calculations!M12</f>
        <v/>
      </c>
      <c r="I12" s="9">
        <f>H12+MAX(0.01,MAX(0,(0.05-H12)*0.5))</f>
        <v/>
      </c>
      <c r="J12" s="9">
        <f>H12+MAX(0.02,MAX(0,(0.08-H12)*0.75))</f>
        <v/>
      </c>
      <c r="K12" s="32">
        <f>Branch_Master_Data!F12</f>
        <v/>
      </c>
      <c r="L12" s="32">
        <f>ROUND(C12*Branch_Master_Data!D12-K12,0)</f>
        <v/>
      </c>
      <c r="M12" s="32">
        <f>ROUND(D12*Branch_Master_Data!D12-K12,0)</f>
        <v/>
      </c>
      <c r="N12" s="32">
        <f>Branch_Master_Data!H12</f>
        <v/>
      </c>
      <c r="O12" s="32">
        <f>ROUND(F12*Branch_Master_Data!E12-N12,0)</f>
        <v/>
      </c>
      <c r="P12" s="32">
        <f>ROUND(G12*Branch_Master_Data!E12-N12,0)</f>
        <v/>
      </c>
    </row>
    <row r="13">
      <c r="A13" s="12">
        <f>KPI_Calculations!A13</f>
        <v/>
      </c>
      <c r="B13" s="13">
        <f>KPI_Calculations!B13</f>
        <v/>
      </c>
      <c r="C13" s="13">
        <f>B13+MAX(0.02,MAX(0,(0.20-B13)*0.5))</f>
        <v/>
      </c>
      <c r="D13" s="13">
        <f>B13+MAX(0.04,MAX(0,(0.25-B13)*0.75))</f>
        <v/>
      </c>
      <c r="E13" s="13">
        <f>KPI_Calculations!C13</f>
        <v/>
      </c>
      <c r="F13" s="13">
        <f>E13+MAX(0.02,MAX(0,(0.18-E13)*0.5))</f>
        <v/>
      </c>
      <c r="G13" s="13">
        <f>E13+MAX(0.04,MAX(0,(0.22-E13)*0.75))</f>
        <v/>
      </c>
      <c r="H13" s="13">
        <f>KPI_Calculations!M13</f>
        <v/>
      </c>
      <c r="I13" s="13">
        <f>H13+MAX(0.01,MAX(0,(0.05-H13)*0.5))</f>
        <v/>
      </c>
      <c r="J13" s="13">
        <f>H13+MAX(0.02,MAX(0,(0.08-H13)*0.75))</f>
        <v/>
      </c>
      <c r="K13" s="33">
        <f>Branch_Master_Data!F13</f>
        <v/>
      </c>
      <c r="L13" s="33">
        <f>ROUND(C13*Branch_Master_Data!D13-K13,0)</f>
        <v/>
      </c>
      <c r="M13" s="33">
        <f>ROUND(D13*Branch_Master_Data!D13-K13,0)</f>
        <v/>
      </c>
      <c r="N13" s="33">
        <f>Branch_Master_Data!H13</f>
        <v/>
      </c>
      <c r="O13" s="33">
        <f>ROUND(F13*Branch_Master_Data!E13-N13,0)</f>
        <v/>
      </c>
      <c r="P13" s="33">
        <f>ROUND(G13*Branch_Master_Data!E13-N13,0)</f>
        <v/>
      </c>
    </row>
    <row r="14">
      <c r="A14" s="8">
        <f>KPI_Calculations!A14</f>
        <v/>
      </c>
      <c r="B14" s="9">
        <f>KPI_Calculations!B14</f>
        <v/>
      </c>
      <c r="C14" s="9">
        <f>B14+MAX(0.02,MAX(0,(0.20-B14)*0.5))</f>
        <v/>
      </c>
      <c r="D14" s="9">
        <f>B14+MAX(0.04,MAX(0,(0.25-B14)*0.75))</f>
        <v/>
      </c>
      <c r="E14" s="9">
        <f>KPI_Calculations!C14</f>
        <v/>
      </c>
      <c r="F14" s="9">
        <f>E14+MAX(0.02,MAX(0,(0.18-E14)*0.5))</f>
        <v/>
      </c>
      <c r="G14" s="9">
        <f>E14+MAX(0.04,MAX(0,(0.22-E14)*0.75))</f>
        <v/>
      </c>
      <c r="H14" s="9">
        <f>KPI_Calculations!M14</f>
        <v/>
      </c>
      <c r="I14" s="9">
        <f>H14+MAX(0.01,MAX(0,(0.05-H14)*0.5))</f>
        <v/>
      </c>
      <c r="J14" s="9">
        <f>H14+MAX(0.02,MAX(0,(0.08-H14)*0.75))</f>
        <v/>
      </c>
      <c r="K14" s="32">
        <f>Branch_Master_Data!F14</f>
        <v/>
      </c>
      <c r="L14" s="32">
        <f>ROUND(C14*Branch_Master_Data!D14-K14,0)</f>
        <v/>
      </c>
      <c r="M14" s="32">
        <f>ROUND(D14*Branch_Master_Data!D14-K14,0)</f>
        <v/>
      </c>
      <c r="N14" s="32">
        <f>Branch_Master_Data!H14</f>
        <v/>
      </c>
      <c r="O14" s="32">
        <f>ROUND(F14*Branch_Master_Data!E14-N14,0)</f>
        <v/>
      </c>
      <c r="P14" s="32">
        <f>ROUND(G14*Branch_Master_Data!E14-N14,0)</f>
        <v/>
      </c>
    </row>
    <row r="15">
      <c r="A15" s="12">
        <f>KPI_Calculations!A15</f>
        <v/>
      </c>
      <c r="B15" s="13">
        <f>KPI_Calculations!B15</f>
        <v/>
      </c>
      <c r="C15" s="13">
        <f>B15+MAX(0.02,MAX(0,(0.20-B15)*0.5))</f>
        <v/>
      </c>
      <c r="D15" s="13">
        <f>B15+MAX(0.04,MAX(0,(0.25-B15)*0.75))</f>
        <v/>
      </c>
      <c r="E15" s="13">
        <f>KPI_Calculations!C15</f>
        <v/>
      </c>
      <c r="F15" s="13">
        <f>E15+MAX(0.02,MAX(0,(0.18-E15)*0.5))</f>
        <v/>
      </c>
      <c r="G15" s="13">
        <f>E15+MAX(0.04,MAX(0,(0.22-E15)*0.75))</f>
        <v/>
      </c>
      <c r="H15" s="13">
        <f>KPI_Calculations!M15</f>
        <v/>
      </c>
      <c r="I15" s="13">
        <f>H15+MAX(0.01,MAX(0,(0.05-H15)*0.5))</f>
        <v/>
      </c>
      <c r="J15" s="13">
        <f>H15+MAX(0.02,MAX(0,(0.08-H15)*0.75))</f>
        <v/>
      </c>
      <c r="K15" s="33">
        <f>Branch_Master_Data!F15</f>
        <v/>
      </c>
      <c r="L15" s="33">
        <f>ROUND(C15*Branch_Master_Data!D15-K15,0)</f>
        <v/>
      </c>
      <c r="M15" s="33">
        <f>ROUND(D15*Branch_Master_Data!D15-K15,0)</f>
        <v/>
      </c>
      <c r="N15" s="33">
        <f>Branch_Master_Data!H15</f>
        <v/>
      </c>
      <c r="O15" s="33">
        <f>ROUND(F15*Branch_Master_Data!E15-N15,0)</f>
        <v/>
      </c>
      <c r="P15" s="33">
        <f>ROUND(G15*Branch_Master_Data!E15-N15,0)</f>
        <v/>
      </c>
    </row>
    <row r="16">
      <c r="A16" s="8">
        <f>KPI_Calculations!A16</f>
        <v/>
      </c>
      <c r="B16" s="9">
        <f>KPI_Calculations!B16</f>
        <v/>
      </c>
      <c r="C16" s="9">
        <f>B16+MAX(0.02,MAX(0,(0.20-B16)*0.5))</f>
        <v/>
      </c>
      <c r="D16" s="9">
        <f>B16+MAX(0.04,MAX(0,(0.25-B16)*0.75))</f>
        <v/>
      </c>
      <c r="E16" s="9">
        <f>KPI_Calculations!C16</f>
        <v/>
      </c>
      <c r="F16" s="9">
        <f>E16+MAX(0.02,MAX(0,(0.18-E16)*0.5))</f>
        <v/>
      </c>
      <c r="G16" s="9">
        <f>E16+MAX(0.04,MAX(0,(0.22-E16)*0.75))</f>
        <v/>
      </c>
      <c r="H16" s="9">
        <f>KPI_Calculations!M16</f>
        <v/>
      </c>
      <c r="I16" s="9">
        <f>H16+MAX(0.01,MAX(0,(0.05-H16)*0.5))</f>
        <v/>
      </c>
      <c r="J16" s="9">
        <f>H16+MAX(0.02,MAX(0,(0.08-H16)*0.75))</f>
        <v/>
      </c>
      <c r="K16" s="32">
        <f>Branch_Master_Data!F16</f>
        <v/>
      </c>
      <c r="L16" s="32">
        <f>ROUND(C16*Branch_Master_Data!D16-K16,0)</f>
        <v/>
      </c>
      <c r="M16" s="32">
        <f>ROUND(D16*Branch_Master_Data!D16-K16,0)</f>
        <v/>
      </c>
      <c r="N16" s="32">
        <f>Branch_Master_Data!H16</f>
        <v/>
      </c>
      <c r="O16" s="32">
        <f>ROUND(F16*Branch_Master_Data!E16-N16,0)</f>
        <v/>
      </c>
      <c r="P16" s="32">
        <f>ROUND(G16*Branch_Master_Data!E16-N16,0)</f>
        <v/>
      </c>
    </row>
    <row r="17">
      <c r="A17" s="12">
        <f>KPI_Calculations!A17</f>
        <v/>
      </c>
      <c r="B17" s="13">
        <f>KPI_Calculations!B17</f>
        <v/>
      </c>
      <c r="C17" s="13">
        <f>B17+MAX(0.02,MAX(0,(0.20-B17)*0.5))</f>
        <v/>
      </c>
      <c r="D17" s="13">
        <f>B17+MAX(0.04,MAX(0,(0.25-B17)*0.75))</f>
        <v/>
      </c>
      <c r="E17" s="13">
        <f>KPI_Calculations!C17</f>
        <v/>
      </c>
      <c r="F17" s="13">
        <f>E17+MAX(0.02,MAX(0,(0.18-E17)*0.5))</f>
        <v/>
      </c>
      <c r="G17" s="13">
        <f>E17+MAX(0.04,MAX(0,(0.22-E17)*0.75))</f>
        <v/>
      </c>
      <c r="H17" s="13">
        <f>KPI_Calculations!M17</f>
        <v/>
      </c>
      <c r="I17" s="13">
        <f>H17+MAX(0.01,MAX(0,(0.05-H17)*0.5))</f>
        <v/>
      </c>
      <c r="J17" s="13">
        <f>H17+MAX(0.02,MAX(0,(0.08-H17)*0.75))</f>
        <v/>
      </c>
      <c r="K17" s="33">
        <f>Branch_Master_Data!F17</f>
        <v/>
      </c>
      <c r="L17" s="33">
        <f>ROUND(C17*Branch_Master_Data!D17-K17,0)</f>
        <v/>
      </c>
      <c r="M17" s="33">
        <f>ROUND(D17*Branch_Master_Data!D17-K17,0)</f>
        <v/>
      </c>
      <c r="N17" s="33">
        <f>Branch_Master_Data!H17</f>
        <v/>
      </c>
      <c r="O17" s="33">
        <f>ROUND(F17*Branch_Master_Data!E17-N17,0)</f>
        <v/>
      </c>
      <c r="P17" s="33">
        <f>ROUND(G17*Branch_Master_Data!E17-N17,0)</f>
        <v/>
      </c>
    </row>
    <row r="18">
      <c r="A18" s="8">
        <f>KPI_Calculations!A18</f>
        <v/>
      </c>
      <c r="B18" s="9">
        <f>KPI_Calculations!B18</f>
        <v/>
      </c>
      <c r="C18" s="9">
        <f>B18+MAX(0.02,MAX(0,(0.20-B18)*0.5))</f>
        <v/>
      </c>
      <c r="D18" s="9">
        <f>B18+MAX(0.04,MAX(0,(0.25-B18)*0.75))</f>
        <v/>
      </c>
      <c r="E18" s="9">
        <f>KPI_Calculations!C18</f>
        <v/>
      </c>
      <c r="F18" s="9">
        <f>E18+MAX(0.02,MAX(0,(0.18-E18)*0.5))</f>
        <v/>
      </c>
      <c r="G18" s="9">
        <f>E18+MAX(0.04,MAX(0,(0.22-E18)*0.75))</f>
        <v/>
      </c>
      <c r="H18" s="9">
        <f>KPI_Calculations!M18</f>
        <v/>
      </c>
      <c r="I18" s="9">
        <f>H18+MAX(0.01,MAX(0,(0.05-H18)*0.5))</f>
        <v/>
      </c>
      <c r="J18" s="9">
        <f>H18+MAX(0.02,MAX(0,(0.08-H18)*0.75))</f>
        <v/>
      </c>
      <c r="K18" s="32">
        <f>Branch_Master_Data!F18</f>
        <v/>
      </c>
      <c r="L18" s="32">
        <f>ROUND(C18*Branch_Master_Data!D18-K18,0)</f>
        <v/>
      </c>
      <c r="M18" s="32">
        <f>ROUND(D18*Branch_Master_Data!D18-K18,0)</f>
        <v/>
      </c>
      <c r="N18" s="32">
        <f>Branch_Master_Data!H18</f>
        <v/>
      </c>
      <c r="O18" s="32">
        <f>ROUND(F18*Branch_Master_Data!E18-N18,0)</f>
        <v/>
      </c>
      <c r="P18" s="32">
        <f>ROUND(G18*Branch_Master_Data!E18-N18,0)</f>
        <v/>
      </c>
    </row>
    <row r="19">
      <c r="A19" s="12">
        <f>KPI_Calculations!A19</f>
        <v/>
      </c>
      <c r="B19" s="13">
        <f>KPI_Calculations!B19</f>
        <v/>
      </c>
      <c r="C19" s="13">
        <f>B19+MAX(0.02,MAX(0,(0.20-B19)*0.5))</f>
        <v/>
      </c>
      <c r="D19" s="13">
        <f>B19+MAX(0.04,MAX(0,(0.25-B19)*0.75))</f>
        <v/>
      </c>
      <c r="E19" s="13">
        <f>KPI_Calculations!C19</f>
        <v/>
      </c>
      <c r="F19" s="13">
        <f>E19+MAX(0.02,MAX(0,(0.18-E19)*0.5))</f>
        <v/>
      </c>
      <c r="G19" s="13">
        <f>E19+MAX(0.04,MAX(0,(0.22-E19)*0.75))</f>
        <v/>
      </c>
      <c r="H19" s="13">
        <f>KPI_Calculations!M19</f>
        <v/>
      </c>
      <c r="I19" s="13">
        <f>H19+MAX(0.01,MAX(0,(0.05-H19)*0.5))</f>
        <v/>
      </c>
      <c r="J19" s="13">
        <f>H19+MAX(0.02,MAX(0,(0.08-H19)*0.75))</f>
        <v/>
      </c>
      <c r="K19" s="33">
        <f>Branch_Master_Data!F19</f>
        <v/>
      </c>
      <c r="L19" s="33">
        <f>ROUND(C19*Branch_Master_Data!D19-K19,0)</f>
        <v/>
      </c>
      <c r="M19" s="33">
        <f>ROUND(D19*Branch_Master_Data!D19-K19,0)</f>
        <v/>
      </c>
      <c r="N19" s="33">
        <f>Branch_Master_Data!H19</f>
        <v/>
      </c>
      <c r="O19" s="33">
        <f>ROUND(F19*Branch_Master_Data!E19-N19,0)</f>
        <v/>
      </c>
      <c r="P19" s="33">
        <f>ROUND(G19*Branch_Master_Data!E19-N19,0)</f>
        <v/>
      </c>
    </row>
    <row r="20">
      <c r="A20" s="8">
        <f>KPI_Calculations!A20</f>
        <v/>
      </c>
      <c r="B20" s="9">
        <f>KPI_Calculations!B20</f>
        <v/>
      </c>
      <c r="C20" s="9">
        <f>B20+MAX(0.02,MAX(0,(0.20-B20)*0.5))</f>
        <v/>
      </c>
      <c r="D20" s="9">
        <f>B20+MAX(0.04,MAX(0,(0.25-B20)*0.75))</f>
        <v/>
      </c>
      <c r="E20" s="9">
        <f>KPI_Calculations!C20</f>
        <v/>
      </c>
      <c r="F20" s="9">
        <f>E20+MAX(0.02,MAX(0,(0.18-E20)*0.5))</f>
        <v/>
      </c>
      <c r="G20" s="9">
        <f>E20+MAX(0.04,MAX(0,(0.22-E20)*0.75))</f>
        <v/>
      </c>
      <c r="H20" s="9">
        <f>KPI_Calculations!M20</f>
        <v/>
      </c>
      <c r="I20" s="9">
        <f>H20+MAX(0.01,MAX(0,(0.05-H20)*0.5))</f>
        <v/>
      </c>
      <c r="J20" s="9">
        <f>H20+MAX(0.02,MAX(0,(0.08-H20)*0.75))</f>
        <v/>
      </c>
      <c r="K20" s="32">
        <f>Branch_Master_Data!F20</f>
        <v/>
      </c>
      <c r="L20" s="32">
        <f>ROUND(C20*Branch_Master_Data!D20-K20,0)</f>
        <v/>
      </c>
      <c r="M20" s="32">
        <f>ROUND(D20*Branch_Master_Data!D20-K20,0)</f>
        <v/>
      </c>
      <c r="N20" s="32">
        <f>Branch_Master_Data!H20</f>
        <v/>
      </c>
      <c r="O20" s="32">
        <f>ROUND(F20*Branch_Master_Data!E20-N20,0)</f>
        <v/>
      </c>
      <c r="P20" s="32">
        <f>ROUND(G20*Branch_Master_Data!E20-N20,0)</f>
        <v/>
      </c>
    </row>
    <row r="21">
      <c r="A21" s="12">
        <f>KPI_Calculations!A21</f>
        <v/>
      </c>
      <c r="B21" s="13">
        <f>KPI_Calculations!B21</f>
        <v/>
      </c>
      <c r="C21" s="13">
        <f>B21+MAX(0.02,MAX(0,(0.20-B21)*0.5))</f>
        <v/>
      </c>
      <c r="D21" s="13">
        <f>B21+MAX(0.04,MAX(0,(0.25-B21)*0.75))</f>
        <v/>
      </c>
      <c r="E21" s="13">
        <f>KPI_Calculations!C21</f>
        <v/>
      </c>
      <c r="F21" s="13">
        <f>E21+MAX(0.02,MAX(0,(0.18-E21)*0.5))</f>
        <v/>
      </c>
      <c r="G21" s="13">
        <f>E21+MAX(0.04,MAX(0,(0.22-E21)*0.75))</f>
        <v/>
      </c>
      <c r="H21" s="13">
        <f>KPI_Calculations!M21</f>
        <v/>
      </c>
      <c r="I21" s="13">
        <f>H21+MAX(0.01,MAX(0,(0.05-H21)*0.5))</f>
        <v/>
      </c>
      <c r="J21" s="13">
        <f>H21+MAX(0.02,MAX(0,(0.08-H21)*0.75))</f>
        <v/>
      </c>
      <c r="K21" s="33">
        <f>Branch_Master_Data!F21</f>
        <v/>
      </c>
      <c r="L21" s="33">
        <f>ROUND(C21*Branch_Master_Data!D21-K21,0)</f>
        <v/>
      </c>
      <c r="M21" s="33">
        <f>ROUND(D21*Branch_Master_Data!D21-K21,0)</f>
        <v/>
      </c>
      <c r="N21" s="33">
        <f>Branch_Master_Data!H21</f>
        <v/>
      </c>
      <c r="O21" s="33">
        <f>ROUND(F21*Branch_Master_Data!E21-N21,0)</f>
        <v/>
      </c>
      <c r="P21" s="33">
        <f>ROUND(G21*Branch_Master_Data!E21-N21,0)</f>
        <v/>
      </c>
    </row>
    <row r="22">
      <c r="A22" s="8">
        <f>KPI_Calculations!A22</f>
        <v/>
      </c>
      <c r="B22" s="9">
        <f>KPI_Calculations!B22</f>
        <v/>
      </c>
      <c r="C22" s="9">
        <f>B22+MAX(0.02,MAX(0,(0.20-B22)*0.5))</f>
        <v/>
      </c>
      <c r="D22" s="9">
        <f>B22+MAX(0.04,MAX(0,(0.25-B22)*0.75))</f>
        <v/>
      </c>
      <c r="E22" s="9">
        <f>KPI_Calculations!C22</f>
        <v/>
      </c>
      <c r="F22" s="9">
        <f>E22+MAX(0.02,MAX(0,(0.18-E22)*0.5))</f>
        <v/>
      </c>
      <c r="G22" s="9">
        <f>E22+MAX(0.04,MAX(0,(0.22-E22)*0.75))</f>
        <v/>
      </c>
      <c r="H22" s="9">
        <f>KPI_Calculations!M22</f>
        <v/>
      </c>
      <c r="I22" s="9">
        <f>H22+MAX(0.01,MAX(0,(0.05-H22)*0.5))</f>
        <v/>
      </c>
      <c r="J22" s="9">
        <f>H22+MAX(0.02,MAX(0,(0.08-H22)*0.75))</f>
        <v/>
      </c>
      <c r="K22" s="32">
        <f>Branch_Master_Data!F22</f>
        <v/>
      </c>
      <c r="L22" s="32">
        <f>ROUND(C22*Branch_Master_Data!D22-K22,0)</f>
        <v/>
      </c>
      <c r="M22" s="32">
        <f>ROUND(D22*Branch_Master_Data!D22-K22,0)</f>
        <v/>
      </c>
      <c r="N22" s="32">
        <f>Branch_Master_Data!H22</f>
        <v/>
      </c>
      <c r="O22" s="32">
        <f>ROUND(F22*Branch_Master_Data!E22-N22,0)</f>
        <v/>
      </c>
      <c r="P22" s="32">
        <f>ROUND(G22*Branch_Master_Data!E22-N22,0)</f>
        <v/>
      </c>
    </row>
    <row r="23">
      <c r="A23" s="12">
        <f>KPI_Calculations!A23</f>
        <v/>
      </c>
      <c r="B23" s="13">
        <f>KPI_Calculations!B23</f>
        <v/>
      </c>
      <c r="C23" s="13">
        <f>B23+MAX(0.02,MAX(0,(0.20-B23)*0.5))</f>
        <v/>
      </c>
      <c r="D23" s="13">
        <f>B23+MAX(0.04,MAX(0,(0.25-B23)*0.75))</f>
        <v/>
      </c>
      <c r="E23" s="13">
        <f>KPI_Calculations!C23</f>
        <v/>
      </c>
      <c r="F23" s="13">
        <f>E23+MAX(0.02,MAX(0,(0.18-E23)*0.5))</f>
        <v/>
      </c>
      <c r="G23" s="13">
        <f>E23+MAX(0.04,MAX(0,(0.22-E23)*0.75))</f>
        <v/>
      </c>
      <c r="H23" s="13">
        <f>KPI_Calculations!M23</f>
        <v/>
      </c>
      <c r="I23" s="13">
        <f>H23+MAX(0.01,MAX(0,(0.05-H23)*0.5))</f>
        <v/>
      </c>
      <c r="J23" s="13">
        <f>H23+MAX(0.02,MAX(0,(0.08-H23)*0.75))</f>
        <v/>
      </c>
      <c r="K23" s="33">
        <f>Branch_Master_Data!F23</f>
        <v/>
      </c>
      <c r="L23" s="33">
        <f>ROUND(C23*Branch_Master_Data!D23-K23,0)</f>
        <v/>
      </c>
      <c r="M23" s="33">
        <f>ROUND(D23*Branch_Master_Data!D23-K23,0)</f>
        <v/>
      </c>
      <c r="N23" s="33">
        <f>Branch_Master_Data!H23</f>
        <v/>
      </c>
      <c r="O23" s="33">
        <f>ROUND(F23*Branch_Master_Data!E23-N23,0)</f>
        <v/>
      </c>
      <c r="P23" s="33">
        <f>ROUND(G23*Branch_Master_Data!E23-N23,0)</f>
        <v/>
      </c>
    </row>
    <row r="24">
      <c r="A24" s="8">
        <f>KPI_Calculations!A24</f>
        <v/>
      </c>
      <c r="B24" s="9">
        <f>KPI_Calculations!B24</f>
        <v/>
      </c>
      <c r="C24" s="9">
        <f>B24+MAX(0.02,MAX(0,(0.20-B24)*0.5))</f>
        <v/>
      </c>
      <c r="D24" s="9">
        <f>B24+MAX(0.04,MAX(0,(0.25-B24)*0.75))</f>
        <v/>
      </c>
      <c r="E24" s="9">
        <f>KPI_Calculations!C24</f>
        <v/>
      </c>
      <c r="F24" s="9">
        <f>E24+MAX(0.02,MAX(0,(0.18-E24)*0.5))</f>
        <v/>
      </c>
      <c r="G24" s="9">
        <f>E24+MAX(0.04,MAX(0,(0.22-E24)*0.75))</f>
        <v/>
      </c>
      <c r="H24" s="9">
        <f>KPI_Calculations!M24</f>
        <v/>
      </c>
      <c r="I24" s="9">
        <f>H24+MAX(0.01,MAX(0,(0.05-H24)*0.5))</f>
        <v/>
      </c>
      <c r="J24" s="9">
        <f>H24+MAX(0.02,MAX(0,(0.08-H24)*0.75))</f>
        <v/>
      </c>
      <c r="K24" s="32">
        <f>Branch_Master_Data!F24</f>
        <v/>
      </c>
      <c r="L24" s="32">
        <f>ROUND(C24*Branch_Master_Data!D24-K24,0)</f>
        <v/>
      </c>
      <c r="M24" s="32">
        <f>ROUND(D24*Branch_Master_Data!D24-K24,0)</f>
        <v/>
      </c>
      <c r="N24" s="32">
        <f>Branch_Master_Data!H24</f>
        <v/>
      </c>
      <c r="O24" s="32">
        <f>ROUND(F24*Branch_Master_Data!E24-N24,0)</f>
        <v/>
      </c>
      <c r="P24" s="32">
        <f>ROUND(G24*Branch_Master_Data!E24-N24,0)</f>
        <v/>
      </c>
    </row>
    <row r="25">
      <c r="A25" s="12">
        <f>KPI_Calculations!A25</f>
        <v/>
      </c>
      <c r="B25" s="13">
        <f>KPI_Calculations!B25</f>
        <v/>
      </c>
      <c r="C25" s="13">
        <f>B25+MAX(0.02,MAX(0,(0.20-B25)*0.5))</f>
        <v/>
      </c>
      <c r="D25" s="13">
        <f>B25+MAX(0.04,MAX(0,(0.25-B25)*0.75))</f>
        <v/>
      </c>
      <c r="E25" s="13">
        <f>KPI_Calculations!C25</f>
        <v/>
      </c>
      <c r="F25" s="13">
        <f>E25+MAX(0.02,MAX(0,(0.18-E25)*0.5))</f>
        <v/>
      </c>
      <c r="G25" s="13">
        <f>E25+MAX(0.04,MAX(0,(0.22-E25)*0.75))</f>
        <v/>
      </c>
      <c r="H25" s="13">
        <f>KPI_Calculations!M25</f>
        <v/>
      </c>
      <c r="I25" s="13">
        <f>H25+MAX(0.01,MAX(0,(0.05-H25)*0.5))</f>
        <v/>
      </c>
      <c r="J25" s="13">
        <f>H25+MAX(0.02,MAX(0,(0.08-H25)*0.75))</f>
        <v/>
      </c>
      <c r="K25" s="33">
        <f>Branch_Master_Data!F25</f>
        <v/>
      </c>
      <c r="L25" s="33">
        <f>ROUND(C25*Branch_Master_Data!D25-K25,0)</f>
        <v/>
      </c>
      <c r="M25" s="33">
        <f>ROUND(D25*Branch_Master_Data!D25-K25,0)</f>
        <v/>
      </c>
      <c r="N25" s="33">
        <f>Branch_Master_Data!H25</f>
        <v/>
      </c>
      <c r="O25" s="33">
        <f>ROUND(F25*Branch_Master_Data!E25-N25,0)</f>
        <v/>
      </c>
      <c r="P25" s="33">
        <f>ROUND(G25*Branch_Master_Data!E25-N25,0)</f>
        <v/>
      </c>
    </row>
    <row r="26">
      <c r="A26" s="8">
        <f>KPI_Calculations!A26</f>
        <v/>
      </c>
      <c r="B26" s="9">
        <f>KPI_Calculations!B26</f>
        <v/>
      </c>
      <c r="C26" s="9">
        <f>B26+MAX(0.02,MAX(0,(0.20-B26)*0.5))</f>
        <v/>
      </c>
      <c r="D26" s="9">
        <f>B26+MAX(0.04,MAX(0,(0.25-B26)*0.75))</f>
        <v/>
      </c>
      <c r="E26" s="9">
        <f>KPI_Calculations!C26</f>
        <v/>
      </c>
      <c r="F26" s="9">
        <f>E26+MAX(0.02,MAX(0,(0.18-E26)*0.5))</f>
        <v/>
      </c>
      <c r="G26" s="9">
        <f>E26+MAX(0.04,MAX(0,(0.22-E26)*0.75))</f>
        <v/>
      </c>
      <c r="H26" s="9">
        <f>KPI_Calculations!M26</f>
        <v/>
      </c>
      <c r="I26" s="9">
        <f>H26+MAX(0.01,MAX(0,(0.05-H26)*0.5))</f>
        <v/>
      </c>
      <c r="J26" s="9">
        <f>H26+MAX(0.02,MAX(0,(0.08-H26)*0.75))</f>
        <v/>
      </c>
      <c r="K26" s="32">
        <f>Branch_Master_Data!F26</f>
        <v/>
      </c>
      <c r="L26" s="32">
        <f>ROUND(C26*Branch_Master_Data!D26-K26,0)</f>
        <v/>
      </c>
      <c r="M26" s="32">
        <f>ROUND(D26*Branch_Master_Data!D26-K26,0)</f>
        <v/>
      </c>
      <c r="N26" s="32">
        <f>Branch_Master_Data!H26</f>
        <v/>
      </c>
      <c r="O26" s="32">
        <f>ROUND(F26*Branch_Master_Data!E26-N26,0)</f>
        <v/>
      </c>
      <c r="P26" s="32">
        <f>ROUND(G26*Branch_Master_Data!E26-N26,0)</f>
        <v/>
      </c>
    </row>
    <row r="27">
      <c r="A27" s="12">
        <f>KPI_Calculations!A27</f>
        <v/>
      </c>
      <c r="B27" s="13">
        <f>KPI_Calculations!B27</f>
        <v/>
      </c>
      <c r="C27" s="13">
        <f>B27+MAX(0.02,MAX(0,(0.20-B27)*0.5))</f>
        <v/>
      </c>
      <c r="D27" s="13">
        <f>B27+MAX(0.04,MAX(0,(0.25-B27)*0.75))</f>
        <v/>
      </c>
      <c r="E27" s="13">
        <f>KPI_Calculations!C27</f>
        <v/>
      </c>
      <c r="F27" s="13">
        <f>E27+MAX(0.02,MAX(0,(0.18-E27)*0.5))</f>
        <v/>
      </c>
      <c r="G27" s="13">
        <f>E27+MAX(0.04,MAX(0,(0.22-E27)*0.75))</f>
        <v/>
      </c>
      <c r="H27" s="13">
        <f>KPI_Calculations!M27</f>
        <v/>
      </c>
      <c r="I27" s="13">
        <f>H27+MAX(0.01,MAX(0,(0.05-H27)*0.5))</f>
        <v/>
      </c>
      <c r="J27" s="13">
        <f>H27+MAX(0.02,MAX(0,(0.08-H27)*0.75))</f>
        <v/>
      </c>
      <c r="K27" s="33">
        <f>Branch_Master_Data!F27</f>
        <v/>
      </c>
      <c r="L27" s="33">
        <f>ROUND(C27*Branch_Master_Data!D27-K27,0)</f>
        <v/>
      </c>
      <c r="M27" s="33">
        <f>ROUND(D27*Branch_Master_Data!D27-K27,0)</f>
        <v/>
      </c>
      <c r="N27" s="33">
        <f>Branch_Master_Data!H27</f>
        <v/>
      </c>
      <c r="O27" s="33">
        <f>ROUND(F27*Branch_Master_Data!E27-N27,0)</f>
        <v/>
      </c>
      <c r="P27" s="33">
        <f>ROUND(G27*Branch_Master_Data!E27-N27,0)</f>
        <v/>
      </c>
    </row>
    <row r="28">
      <c r="A28" s="8">
        <f>KPI_Calculations!A28</f>
        <v/>
      </c>
      <c r="B28" s="9">
        <f>KPI_Calculations!B28</f>
        <v/>
      </c>
      <c r="C28" s="9">
        <f>B28+MAX(0.02,MAX(0,(0.20-B28)*0.5))</f>
        <v/>
      </c>
      <c r="D28" s="9">
        <f>B28+MAX(0.04,MAX(0,(0.25-B28)*0.75))</f>
        <v/>
      </c>
      <c r="E28" s="9">
        <f>KPI_Calculations!C28</f>
        <v/>
      </c>
      <c r="F28" s="9">
        <f>E28+MAX(0.02,MAX(0,(0.18-E28)*0.5))</f>
        <v/>
      </c>
      <c r="G28" s="9">
        <f>E28+MAX(0.04,MAX(0,(0.22-E28)*0.75))</f>
        <v/>
      </c>
      <c r="H28" s="9">
        <f>KPI_Calculations!M28</f>
        <v/>
      </c>
      <c r="I28" s="9">
        <f>H28+MAX(0.01,MAX(0,(0.05-H28)*0.5))</f>
        <v/>
      </c>
      <c r="J28" s="9">
        <f>H28+MAX(0.02,MAX(0,(0.08-H28)*0.75))</f>
        <v/>
      </c>
      <c r="K28" s="32">
        <f>Branch_Master_Data!F28</f>
        <v/>
      </c>
      <c r="L28" s="32">
        <f>ROUND(C28*Branch_Master_Data!D28-K28,0)</f>
        <v/>
      </c>
      <c r="M28" s="32">
        <f>ROUND(D28*Branch_Master_Data!D28-K28,0)</f>
        <v/>
      </c>
      <c r="N28" s="32">
        <f>Branch_Master_Data!H28</f>
        <v/>
      </c>
      <c r="O28" s="32">
        <f>ROUND(F28*Branch_Master_Data!E28-N28,0)</f>
        <v/>
      </c>
      <c r="P28" s="32">
        <f>ROUND(G28*Branch_Master_Data!E28-N28,0)</f>
        <v/>
      </c>
    </row>
    <row r="29">
      <c r="A29" s="12">
        <f>KPI_Calculations!A29</f>
        <v/>
      </c>
      <c r="B29" s="13">
        <f>KPI_Calculations!B29</f>
        <v/>
      </c>
      <c r="C29" s="13">
        <f>B29+MAX(0.02,MAX(0,(0.20-B29)*0.5))</f>
        <v/>
      </c>
      <c r="D29" s="13">
        <f>B29+MAX(0.04,MAX(0,(0.25-B29)*0.75))</f>
        <v/>
      </c>
      <c r="E29" s="13">
        <f>KPI_Calculations!C29</f>
        <v/>
      </c>
      <c r="F29" s="13">
        <f>E29+MAX(0.02,MAX(0,(0.18-E29)*0.5))</f>
        <v/>
      </c>
      <c r="G29" s="13">
        <f>E29+MAX(0.04,MAX(0,(0.22-E29)*0.75))</f>
        <v/>
      </c>
      <c r="H29" s="13">
        <f>KPI_Calculations!M29</f>
        <v/>
      </c>
      <c r="I29" s="13">
        <f>H29+MAX(0.01,MAX(0,(0.05-H29)*0.5))</f>
        <v/>
      </c>
      <c r="J29" s="13">
        <f>H29+MAX(0.02,MAX(0,(0.08-H29)*0.75))</f>
        <v/>
      </c>
      <c r="K29" s="33">
        <f>Branch_Master_Data!F29</f>
        <v/>
      </c>
      <c r="L29" s="33">
        <f>ROUND(C29*Branch_Master_Data!D29-K29,0)</f>
        <v/>
      </c>
      <c r="M29" s="33">
        <f>ROUND(D29*Branch_Master_Data!D29-K29,0)</f>
        <v/>
      </c>
      <c r="N29" s="33">
        <f>Branch_Master_Data!H29</f>
        <v/>
      </c>
      <c r="O29" s="33">
        <f>ROUND(F29*Branch_Master_Data!E29-N29,0)</f>
        <v/>
      </c>
      <c r="P29" s="33">
        <f>ROUND(G29*Branch_Master_Data!E29-N29,0)</f>
        <v/>
      </c>
    </row>
    <row r="30">
      <c r="A30" s="8">
        <f>KPI_Calculations!A30</f>
        <v/>
      </c>
      <c r="B30" s="9">
        <f>KPI_Calculations!B30</f>
        <v/>
      </c>
      <c r="C30" s="9">
        <f>B30+MAX(0.02,MAX(0,(0.20-B30)*0.5))</f>
        <v/>
      </c>
      <c r="D30" s="9">
        <f>B30+MAX(0.04,MAX(0,(0.25-B30)*0.75))</f>
        <v/>
      </c>
      <c r="E30" s="9">
        <f>KPI_Calculations!C30</f>
        <v/>
      </c>
      <c r="F30" s="9">
        <f>E30+MAX(0.02,MAX(0,(0.18-E30)*0.5))</f>
        <v/>
      </c>
      <c r="G30" s="9">
        <f>E30+MAX(0.04,MAX(0,(0.22-E30)*0.75))</f>
        <v/>
      </c>
      <c r="H30" s="9">
        <f>KPI_Calculations!M30</f>
        <v/>
      </c>
      <c r="I30" s="9">
        <f>H30+MAX(0.01,MAX(0,(0.05-H30)*0.5))</f>
        <v/>
      </c>
      <c r="J30" s="9">
        <f>H30+MAX(0.02,MAX(0,(0.08-H30)*0.75))</f>
        <v/>
      </c>
      <c r="K30" s="32">
        <f>Branch_Master_Data!F30</f>
        <v/>
      </c>
      <c r="L30" s="32">
        <f>ROUND(C30*Branch_Master_Data!D30-K30,0)</f>
        <v/>
      </c>
      <c r="M30" s="32">
        <f>ROUND(D30*Branch_Master_Data!D30-K30,0)</f>
        <v/>
      </c>
      <c r="N30" s="32">
        <f>Branch_Master_Data!H30</f>
        <v/>
      </c>
      <c r="O30" s="32">
        <f>ROUND(F30*Branch_Master_Data!E30-N30,0)</f>
        <v/>
      </c>
      <c r="P30" s="32">
        <f>ROUND(G30*Branch_Master_Data!E30-N30,0)</f>
        <v/>
      </c>
    </row>
    <row r="31">
      <c r="A31" s="34" t="inlineStr">
        <is>
          <t>NETWORK TOTAL</t>
        </is>
      </c>
      <c r="K31" s="35">
        <f>SUM(K2:K30)</f>
        <v/>
      </c>
      <c r="L31" s="35">
        <f>SUM(L2:L30)</f>
        <v/>
      </c>
      <c r="M31" s="35">
        <f>SUM(M2:M30)</f>
        <v/>
      </c>
      <c r="N31" s="35">
        <f>SUM(N2:N30)</f>
        <v/>
      </c>
      <c r="O31" s="35">
        <f>SUM(O2:O30)</f>
        <v/>
      </c>
      <c r="P31" s="35">
        <f>SUM(P2:P30)</f>
        <v/>
      </c>
    </row>
    <row r="32">
      <c r="A32" s="34" t="inlineStr">
        <is>
          <t>TARGET ASSUMPTIONS</t>
        </is>
      </c>
    </row>
    <row r="33">
      <c r="A33" s="36" t="inlineStr">
        <is>
          <t>PI Pen 12M: Current + MAX(2pp, 50% of gap to 20%)</t>
        </is>
      </c>
    </row>
    <row r="34">
      <c r="A34" s="36" t="inlineStr">
        <is>
          <t>PI Pen 24M: Current + MAX(4pp, 75% of gap to 25%)</t>
        </is>
      </c>
    </row>
    <row r="35">
      <c r="A35" s="36" t="inlineStr">
        <is>
          <t>Biz Pen 12M: Current + MAX(2pp, 50% of gap to 18%)</t>
        </is>
      </c>
    </row>
    <row r="36">
      <c r="A36" s="36" t="inlineStr">
        <is>
          <t>M-Bank 12M: Current + MAX(1pp, move toward 5%)</t>
        </is>
      </c>
    </row>
    <row r="37">
      <c r="A37" s="36" t="inlineStr">
        <is>
          <t>Targets are count-based, not value-based. EUR impact requires branch P&amp;L data.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6A6A6"/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35" customWidth="1" min="3" max="3"/>
    <col width="45" customWidth="1" min="4" max="4"/>
    <col width="45" customWidth="1" min="5" max="5"/>
  </cols>
  <sheetData>
    <row r="1">
      <c r="A1" s="1" t="inlineStr">
        <is>
          <t>KPI Name</t>
        </is>
      </c>
      <c r="B1" s="1" t="inlineStr">
        <is>
          <t>Formula</t>
        </is>
      </c>
      <c r="C1" s="1" t="inlineStr">
        <is>
          <t>Source</t>
        </is>
      </c>
      <c r="D1" s="1" t="inlineStr">
        <is>
          <t>Interpretation</t>
        </is>
      </c>
      <c r="E1" s="1" t="inlineStr">
        <is>
          <t>Caveats</t>
        </is>
      </c>
    </row>
    <row r="2">
      <c r="A2" s="8" t="inlineStr">
        <is>
          <t>PI Penetration</t>
        </is>
      </c>
      <c r="B2" s="17" t="inlineStr">
        <is>
          <t>Active PI Clients / Population &gt;15</t>
        </is>
      </c>
      <c r="C2" s="17" t="inlineStr">
        <is>
          <t>Branch Productivity.xlsx - Total sheet</t>
        </is>
      </c>
      <c r="D2" s="17" t="inlineStr">
        <is>
          <t>Share of adult population banked. &gt;25% = strong, &lt;15% = weak</t>
        </is>
      </c>
      <c r="E2" s="17" t="inlineStr">
        <is>
          <t>Inflated for branches serving wider catchment (e.g. Mit. Veriore)</t>
        </is>
      </c>
    </row>
    <row r="3">
      <c r="A3" s="12" t="inlineStr">
        <is>
          <t>Business Penetration</t>
        </is>
      </c>
      <c r="B3" s="21" t="inlineStr">
        <is>
          <t>Active Business Clients / Registered Businesses</t>
        </is>
      </c>
      <c r="C3" s="21" t="inlineStr">
        <is>
          <t>Branch Productivity.xlsx</t>
        </is>
      </c>
      <c r="D3" s="21" t="inlineStr">
        <is>
          <t>Share of local businesses banked. &gt;20% = strong, &lt;12% = weak</t>
        </is>
      </c>
      <c r="E3" s="21" t="inlineStr">
        <is>
          <t>Registered =/= active businesses. Actual addressable market may differ</t>
        </is>
      </c>
    </row>
    <row r="4">
      <c r="A4" s="8" t="inlineStr">
        <is>
          <t>PI Client Growth %</t>
        </is>
      </c>
      <c r="B4" s="17" t="inlineStr">
        <is>
          <t>(PI Clients 2026 - PI Clients 2025) / PI Clients 2025</t>
        </is>
      </c>
      <c r="C4" s="17" t="inlineStr">
        <is>
          <t>Branch Productivity.xlsx - Clients PI sheet</t>
        </is>
      </c>
      <c r="D4" s="17" t="inlineStr">
        <is>
          <t>YoY client acquisition momentum. &gt;5% = high growth, &lt;2% = stagnant</t>
        </is>
      </c>
      <c r="E4" s="17" t="inlineStr">
        <is>
          <t>Single-year snapshot. Trend requires multi-year data</t>
        </is>
      </c>
    </row>
    <row r="5">
      <c r="A5" s="12" t="inlineStr">
        <is>
          <t>Business Client Growth %</t>
        </is>
      </c>
      <c r="B5" s="21" t="inlineStr">
        <is>
          <t>(Biz Clients 2026 - Biz 2025 est.) / Biz 2025</t>
        </is>
      </c>
      <c r="C5" s="21" t="inlineStr">
        <is>
          <t>Branch Productivity.xlsx - Clients BI sheet</t>
        </is>
      </c>
      <c r="D5" s="21" t="inlineStr">
        <is>
          <t>YoY business acquisition. Negative = client attrition</t>
        </is>
      </c>
      <c r="E5" s="21" t="inlineStr">
        <is>
          <t>Business 2025 count estimated from available data</t>
        </is>
      </c>
    </row>
    <row r="6">
      <c r="A6" s="8" t="inlineStr">
        <is>
          <t>Mortgage Penetration</t>
        </is>
      </c>
      <c r="B6" s="17" t="inlineStr">
        <is>
          <t>Mortgage Loans / PI Clients</t>
        </is>
      </c>
      <c r="C6" s="17" t="inlineStr">
        <is>
          <t>Branch Productivity.xlsx</t>
        </is>
      </c>
      <c r="D6" s="17" t="inlineStr">
        <is>
          <t>Share of PI clients with mortgage. Network avg: 3.9%</t>
        </is>
      </c>
      <c r="E6" s="17" t="inlineStr">
        <is>
          <t>Count-based, not value-based. Avg ticket unknown</t>
        </is>
      </c>
    </row>
    <row r="7">
      <c r="A7" s="12" t="inlineStr">
        <is>
          <t>Consumer Loan Penetration</t>
        </is>
      </c>
      <c r="B7" s="21" t="inlineStr">
        <is>
          <t>Consumer Loans / PI Clients</t>
        </is>
      </c>
      <c r="C7" s="21" t="inlineStr">
        <is>
          <t>Branch Productivity.xlsx</t>
        </is>
      </c>
      <c r="D7" s="21" t="inlineStr">
        <is>
          <t>Share of PI clients with consumer loan. Network avg: 11.3%</t>
        </is>
      </c>
      <c r="E7" s="21" t="inlineStr">
        <is>
          <t>Includes all consumer lending products</t>
        </is>
      </c>
    </row>
    <row r="8">
      <c r="A8" s="8" t="inlineStr">
        <is>
          <t>Credit Card Penetration</t>
        </is>
      </c>
      <c r="B8" s="17" t="inlineStr">
        <is>
          <t>Credit Cards / PI Clients</t>
        </is>
      </c>
      <c r="C8" s="17" t="inlineStr">
        <is>
          <t>Branch Productivity.xlsx</t>
        </is>
      </c>
      <c r="D8" s="17" t="inlineStr">
        <is>
          <t>Card product adoption. Most branches &lt;1%</t>
        </is>
      </c>
      <c r="E8" s="17" t="inlineStr">
        <is>
          <t>Very low across network, significant opportunity</t>
        </is>
      </c>
    </row>
    <row r="9">
      <c r="A9" s="12" t="inlineStr">
        <is>
          <t>Overdraft Penetration</t>
        </is>
      </c>
      <c r="B9" s="21" t="inlineStr">
        <is>
          <t>Overdrafts / PI Clients</t>
        </is>
      </c>
      <c r="C9" s="21" t="inlineStr">
        <is>
          <t>Branch Productivity.xlsx</t>
        </is>
      </c>
      <c r="D9" s="21" t="inlineStr">
        <is>
          <t>OVD product adoption</t>
        </is>
      </c>
      <c r="E9" s="21" t="inlineStr">
        <is>
          <t>Similar pattern to credit cards</t>
        </is>
      </c>
    </row>
    <row r="10">
      <c r="A10" s="8" t="inlineStr">
        <is>
          <t>Lending Intensity</t>
        </is>
      </c>
      <c r="B10" s="17" t="inlineStr">
        <is>
          <t>(Mortgages + Consumer Loans) / PI Clients</t>
        </is>
      </c>
      <c r="C10" s="17" t="inlineStr">
        <is>
          <t>Calculated</t>
        </is>
      </c>
      <c r="D10" s="17" t="inlineStr">
        <is>
          <t>Combined lending product penetration. &gt;15% = strong</t>
        </is>
      </c>
      <c r="E10" s="17" t="inlineStr">
        <is>
          <t>Does not capture loan values</t>
        </is>
      </c>
    </row>
    <row r="11">
      <c r="A11" s="12" t="inlineStr">
        <is>
          <t>Products per PI</t>
        </is>
      </c>
      <c r="B11" s="21" t="inlineStr">
        <is>
          <t>(CA+SA+TDA+Mort+Cons+CC+OVD) / PI Clients</t>
        </is>
      </c>
      <c r="C11" s="21" t="inlineStr">
        <is>
          <t>Calculated</t>
        </is>
      </c>
      <c r="D11" s="21" t="inlineStr">
        <is>
          <t>Cross-sell depth indicator. Higher = more engaged clients</t>
        </is>
      </c>
      <c r="E11" s="21" t="inlineStr">
        <is>
          <t>SA data appears incomplete in source</t>
        </is>
      </c>
    </row>
    <row r="12">
      <c r="A12" s="8" t="inlineStr">
        <is>
          <t>POS per 1000 Businesses</t>
        </is>
      </c>
      <c r="B12" s="17" t="inlineStr">
        <is>
          <t>POS Terminals / Registered Businesses * 1000</t>
        </is>
      </c>
      <c r="C12" s="17" t="inlineStr">
        <is>
          <t>Branch Productivity.xlsx</t>
        </is>
      </c>
      <c r="D12" s="17" t="inlineStr">
        <is>
          <t>Merchant acquiring density. Higher = better coverage</t>
        </is>
      </c>
      <c r="E12" s="17" t="inlineStr">
        <is>
          <t>POS count includes all active terminals</t>
        </is>
      </c>
    </row>
    <row r="13">
      <c r="A13" s="12" t="inlineStr">
        <is>
          <t>M-Banking Rate</t>
        </is>
      </c>
      <c r="B13" s="21" t="inlineStr">
        <is>
          <t>M-Banking Users / PI Clients</t>
        </is>
      </c>
      <c r="C13" s="21" t="inlineStr">
        <is>
          <t>Branch Productivity.xlsx - Digital Penetration PI</t>
        </is>
      </c>
      <c r="D13" s="21" t="inlineStr">
        <is>
          <t>Digital channel adoption. Network target: &gt;5%</t>
        </is>
      </c>
      <c r="E13" s="21" t="inlineStr">
        <is>
          <t>Measures registered users, not active users</t>
        </is>
      </c>
    </row>
    <row r="14">
      <c r="A14" s="8" t="inlineStr">
        <is>
          <t>E-Banking Rate</t>
        </is>
      </c>
      <c r="B14" s="17" t="inlineStr">
        <is>
          <t>E-Banking Users / PI Clients</t>
        </is>
      </c>
      <c r="C14" s="17" t="inlineStr">
        <is>
          <t>Branch Productivity.xlsx</t>
        </is>
      </c>
      <c r="D14" s="17" t="inlineStr">
        <is>
          <t>Internet banking adoption</t>
        </is>
      </c>
      <c r="E14" s="17" t="inlineStr">
        <is>
          <t>Lower than M-Banking across most branches</t>
        </is>
      </c>
    </row>
    <row r="15">
      <c r="A15" s="12" t="inlineStr">
        <is>
          <t>Business CA Penetration</t>
        </is>
      </c>
      <c r="B15" s="21" t="inlineStr">
        <is>
          <t>Business Current Accounts / Registered Businesses</t>
        </is>
      </c>
      <c r="C15" s="21" t="inlineStr">
        <is>
          <t>Branch Productivity.xlsx</t>
        </is>
      </c>
      <c r="D15" s="21" t="inlineStr">
        <is>
          <t>Primary business relationship indicator</t>
        </is>
      </c>
      <c r="E15" s="21" t="inlineStr">
        <is>
          <t>CA is the anchor product for business banking</t>
        </is>
      </c>
    </row>
    <row r="16">
      <c r="A16" s="8" t="inlineStr">
        <is>
          <t>Opportunity Score</t>
        </is>
      </c>
      <c r="B16" s="17" t="inlineStr">
        <is>
          <t>(1-PI_Pen)*Pop15/10000 + (1-Biz_Pen)*Biz/1000</t>
        </is>
      </c>
      <c r="C16" s="17" t="inlineStr">
        <is>
          <t>Calculated</t>
        </is>
      </c>
      <c r="D16" s="17" t="inlineStr">
        <is>
          <t>Combined market opportunity. Higher = more untapped potential</t>
        </is>
      </c>
      <c r="E16" s="17" t="inlineStr">
        <is>
          <t>Weights population and business opportunity equally</t>
        </is>
      </c>
    </row>
    <row r="17">
      <c r="A17" s="12" t="inlineStr">
        <is>
          <t>Underperformance Score</t>
        </is>
      </c>
      <c r="B17" s="21" t="inlineStr">
        <is>
          <t>Weighted gap vs network averages for Pen, Biz Pen, Growth</t>
        </is>
      </c>
      <c r="C17" s="21" t="inlineStr">
        <is>
          <t>Calculated</t>
        </is>
      </c>
      <c r="D17" s="21" t="inlineStr">
        <is>
          <t>Flags branches below network benchmarks. Higher = worse</t>
        </is>
      </c>
      <c r="E17" s="21" t="inlineStr">
        <is>
          <t>Only meaningful for established branches</t>
        </is>
      </c>
    </row>
    <row r="18">
      <c r="A18" s="8" t="inlineStr">
        <is>
          <t>Action Priority</t>
        </is>
      </c>
      <c r="B18" s="17" t="inlineStr">
        <is>
          <t>Opportunity Score * Underperformance Score</t>
        </is>
      </c>
      <c r="C18" s="17" t="inlineStr">
        <is>
          <t>Calculated</t>
        </is>
      </c>
      <c r="D18" s="17" t="inlineStr">
        <is>
          <t>Prioritizes branches with both high opportunity AND underperformance</t>
        </is>
      </c>
      <c r="E18" s="17" t="inlineStr">
        <is>
          <t>Top priority = high opportunity + high underperformance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2026-03-26T19:19:26Z</dcterms:created>
  <dcterms:modified xmlns:dcterms="http://purl.org/dc/terms/" xmlns:xsi="http://www.w3.org/2001/XMLSchema-instance" xsi:type="dcterms:W3CDTF">2026-03-26T19:19:26Z</dcterms:modified>
</cp:coreProperties>
</file>